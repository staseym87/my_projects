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stase\Documents\Coursera\"/>
    </mc:Choice>
  </mc:AlternateContent>
  <xr:revisionPtr revIDLastSave="0" documentId="8_{37378E5F-72F2-4A1A-B056-C3EC715D454A}" xr6:coauthVersionLast="47" xr6:coauthVersionMax="47" xr10:uidLastSave="{00000000-0000-0000-0000-000000000000}"/>
  <bookViews>
    <workbookView xWindow="-108" yWindow="-108" windowWidth="23256" windowHeight="12456" tabRatio="823" activeTab="4" xr2:uid="{00000000-000D-0000-FFFF-FFFF00000000}"/>
  </bookViews>
  <sheets>
    <sheet name="Event Data" sheetId="1" r:id="rId1"/>
    <sheet name="Dataset Summary" sheetId="13" r:id="rId2"/>
    <sheet name="Projections" sheetId="19" r:id="rId3"/>
    <sheet name="Scenario Summary" sheetId="24" r:id="rId4"/>
    <sheet name="Event Dashboard" sheetId="12" r:id="rId5"/>
    <sheet name="Assumptions" sheetId="2" r:id="rId6"/>
    <sheet name="Temp Data" sheetId="15" r:id="rId7"/>
    <sheet name="WorkshopPreferences" sheetId="7" r:id="rId8"/>
    <sheet name="DietaryPreferences" sheetId="6" r:id="rId9"/>
  </sheets>
  <functionGroups builtInGroupCount="19"/>
  <definedNames>
    <definedName name="_xleta.COUNT" hidden="1" xlm="1">#NAME?</definedName>
    <definedName name="_xleta.DATE" hidden="1" xlm="1">#NAME?</definedName>
    <definedName name="_xleta.SUM" hidden="1" xlm="1">#NAME?</definedName>
    <definedName name="Attendance">Projections!$N$5</definedName>
    <definedName name="Forecasted_Revenues">Projections!$N$3</definedName>
    <definedName name="NativeTimeline_Registration_Date">#N/A</definedName>
    <definedName name="Profit">Projections!$N$9</definedName>
    <definedName name="Slicer_Attendance_Preference">#N/A</definedName>
    <definedName name="Slicer_Session_Preference">#N/A</definedName>
    <definedName name="Ticket_Price">Projections!$N$4</definedName>
    <definedName name="Total_Costs">Projections!$N$6</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6" roundtripDataChecksum="12vlSWq8ZfqZzDFEmFhuqueMtYU2rPg3dxhMX10QuCQ="/>
    </ext>
  </extLst>
</workbook>
</file>

<file path=xl/calcChain.xml><?xml version="1.0" encoding="utf-8"?>
<calcChain xmlns="http://schemas.openxmlformats.org/spreadsheetml/2006/main">
  <c r="I19" i="19" l="1"/>
  <c r="J19" i="19"/>
  <c r="K19" i="19"/>
  <c r="K8" i="19"/>
  <c r="J8" i="19"/>
  <c r="J6" i="19" s="1"/>
  <c r="I8" i="19"/>
  <c r="I18" i="19"/>
  <c r="J18" i="19"/>
  <c r="K18" i="19"/>
  <c r="K7" i="19"/>
  <c r="J7" i="19"/>
  <c r="I7" i="19"/>
  <c r="F19" i="19"/>
  <c r="G19" i="19"/>
  <c r="H19" i="19"/>
  <c r="H8" i="19"/>
  <c r="H6" i="19" s="1"/>
  <c r="G8" i="19"/>
  <c r="G6" i="19" s="1"/>
  <c r="F8" i="19"/>
  <c r="F18" i="19"/>
  <c r="G18" i="19"/>
  <c r="H18" i="19"/>
  <c r="H7" i="19"/>
  <c r="G7" i="19"/>
  <c r="F7" i="19"/>
  <c r="H22" i="19"/>
  <c r="G22" i="19"/>
  <c r="K22" i="19"/>
  <c r="J22" i="19"/>
  <c r="K11" i="19"/>
  <c r="J11" i="19"/>
  <c r="H11" i="19"/>
  <c r="G11" i="19"/>
  <c r="K6" i="19"/>
  <c r="K9" i="19" s="1"/>
  <c r="F6" i="19"/>
  <c r="H4" i="19"/>
  <c r="H3" i="19" s="1"/>
  <c r="K4" i="19"/>
  <c r="K3" i="19" s="1"/>
  <c r="B28" i="19" a="1"/>
  <c r="B28" i="19" s="1"/>
  <c r="C28" i="19" s="1"/>
  <c r="B27" i="19" a="1"/>
  <c r="B27" i="19" s="1"/>
  <c r="B26" i="19" a="1"/>
  <c r="B26" i="19" s="1"/>
  <c r="B25" i="19" a="1"/>
  <c r="B25" i="19" s="1"/>
  <c r="B24" i="19" a="1"/>
  <c r="B24" i="19" s="1"/>
  <c r="B23" i="19" a="1"/>
  <c r="B23" i="19" s="1"/>
  <c r="B22" i="19" a="1"/>
  <c r="B22" i="19" s="1"/>
  <c r="B21" i="19" a="1"/>
  <c r="B21" i="19" s="1"/>
  <c r="B20" i="19" a="1"/>
  <c r="B20" i="19" s="1"/>
  <c r="B19" i="19" a="1"/>
  <c r="B19" i="19" s="1"/>
  <c r="B18" i="19" a="1"/>
  <c r="B18" i="19" s="1"/>
  <c r="B17" i="19" a="1"/>
  <c r="B17" i="19" s="1"/>
  <c r="B16" i="19" a="1"/>
  <c r="B16" i="19" s="1"/>
  <c r="B15" i="19" a="1"/>
  <c r="B15" i="19" s="1"/>
  <c r="B14" i="19" a="1"/>
  <c r="B14" i="19" s="1"/>
  <c r="B13" i="19" a="1"/>
  <c r="B13" i="19" s="1"/>
  <c r="B12" i="19" a="1"/>
  <c r="B12" i="19" s="1"/>
  <c r="B11" i="19" a="1"/>
  <c r="B11" i="19" s="1"/>
  <c r="B10" i="19" a="1"/>
  <c r="B10" i="19" s="1"/>
  <c r="B9" i="19" a="1"/>
  <c r="B9" i="19" s="1"/>
  <c r="B8" i="19" a="1"/>
  <c r="B8" i="19" s="1"/>
  <c r="B7" i="19" a="1"/>
  <c r="B7" i="19" s="1"/>
  <c r="B6" i="19" a="1"/>
  <c r="B6" i="19" s="1"/>
  <c r="B5" i="19" a="1"/>
  <c r="B5" i="19" s="1"/>
  <c r="B4" i="19" a="1"/>
  <c r="B4" i="19" s="1"/>
  <c r="B3" i="19" a="1"/>
  <c r="B3" i="19" s="1"/>
  <c r="B2" i="19" a="1"/>
  <c r="B2" i="19" s="1"/>
  <c r="C7" i="12"/>
  <c r="E7" i="12"/>
  <c r="C34" i="19"/>
  <c r="C40" i="19"/>
  <c r="C29" i="19"/>
  <c r="C39" i="19"/>
  <c r="C36" i="19"/>
  <c r="C37" i="19"/>
  <c r="C32" i="19"/>
  <c r="C31" i="19"/>
  <c r="C38" i="19"/>
  <c r="C33" i="19"/>
  <c r="C35" i="19"/>
  <c r="C30" i="19"/>
  <c r="I6" i="19" l="1"/>
  <c r="H9" i="19"/>
  <c r="N3" i="19"/>
  <c r="N9" i="19" s="1"/>
  <c r="F5" i="19"/>
  <c r="F3" i="19" s="1"/>
  <c r="F9" i="19" s="1"/>
  <c r="I5" i="19"/>
  <c r="I3" i="19" s="1"/>
  <c r="I9" i="19" s="1"/>
  <c r="G5" i="19"/>
  <c r="J5" i="19"/>
  <c r="A2" i="7"/>
  <c r="A3" i="7"/>
  <c r="A4" i="7"/>
  <c r="A5" i="7"/>
  <c r="A6" i="7"/>
  <c r="A7" i="7"/>
  <c r="A8" i="7"/>
  <c r="A9" i="7"/>
  <c r="A10" i="7"/>
  <c r="A11" i="7"/>
  <c r="A12" i="7"/>
  <c r="A13" i="7"/>
  <c r="J3" i="19" l="1"/>
  <c r="G3" i="19"/>
  <c r="G9" i="19" l="1"/>
  <c r="J9" i="1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<sst xmlns="http://schemas.openxmlformats.org/spreadsheetml/2006/main" count="897" uniqueCount="391">
  <si>
    <t>Name</t>
  </si>
  <si>
    <t>Email</t>
  </si>
  <si>
    <t>Session Preference</t>
  </si>
  <si>
    <t>Workshops</t>
  </si>
  <si>
    <t>Dietary Preference</t>
  </si>
  <si>
    <t>Registration Date</t>
  </si>
  <si>
    <t>A0001</t>
  </si>
  <si>
    <t>Katherine Lewis</t>
  </si>
  <si>
    <t>michaelcole@gmail.com</t>
  </si>
  <si>
    <t>Technology</t>
  </si>
  <si>
    <t>In-Person</t>
  </si>
  <si>
    <t>Vegetarian</t>
  </si>
  <si>
    <t>A0002</t>
  </si>
  <si>
    <t>Joshua Stephens</t>
  </si>
  <si>
    <t>erin02@robinson-moody.biz</t>
  </si>
  <si>
    <t>Marketing</t>
  </si>
  <si>
    <t>Workshop C</t>
  </si>
  <si>
    <t>Gluten-Free</t>
  </si>
  <si>
    <t>A0003</t>
  </si>
  <si>
    <t>Gabrielle Jennings</t>
  </si>
  <si>
    <t>william93@yahoo.com</t>
  </si>
  <si>
    <t>Leadership</t>
  </si>
  <si>
    <t>Online</t>
  </si>
  <si>
    <t>A0004</t>
  </si>
  <si>
    <t>Tina Carrillo</t>
  </si>
  <si>
    <t>marygarcia@gutierrez-tyler.com</t>
  </si>
  <si>
    <t>Workshop A</t>
  </si>
  <si>
    <t>A0005</t>
  </si>
  <si>
    <t>Bryan Hamilton</t>
  </si>
  <si>
    <t>antonio90@yahoo.com</t>
  </si>
  <si>
    <t>Workshop B</t>
  </si>
  <si>
    <t>Vegan</t>
  </si>
  <si>
    <t>A0006</t>
  </si>
  <si>
    <t>Tina Williams</t>
  </si>
  <si>
    <t>bmoore@gmail.com</t>
  </si>
  <si>
    <t>A0007</t>
  </si>
  <si>
    <t>Rebecca Tate</t>
  </si>
  <si>
    <t>millerfrank@gmail.com</t>
  </si>
  <si>
    <t>A0008</t>
  </si>
  <si>
    <t>Curtis Ortiz</t>
  </si>
  <si>
    <t>justinlopez@yahoo.com</t>
  </si>
  <si>
    <t>Non-Vegetarian</t>
  </si>
  <si>
    <t>A0009</t>
  </si>
  <si>
    <t>Christopher Burns</t>
  </si>
  <si>
    <t>brianna75@hotmail.com</t>
  </si>
  <si>
    <t>A0010</t>
  </si>
  <si>
    <t>Bethany Turner</t>
  </si>
  <si>
    <t>johnbullock@hotmail.com</t>
  </si>
  <si>
    <t>A0011</t>
  </si>
  <si>
    <t>Kimberly Anderson</t>
  </si>
  <si>
    <t>jenniferclark@yahoo.com</t>
  </si>
  <si>
    <t>A0012</t>
  </si>
  <si>
    <t>Timothy Butler</t>
  </si>
  <si>
    <t>ujennings@day.biz</t>
  </si>
  <si>
    <t>A0013</t>
  </si>
  <si>
    <t>Gloria Ryan</t>
  </si>
  <si>
    <t>michelemyers@hall-coleman.com</t>
  </si>
  <si>
    <t>A0014</t>
  </si>
  <si>
    <t>Darin Hampton</t>
  </si>
  <si>
    <t>bthornton@tran.com</t>
  </si>
  <si>
    <t>A0015</t>
  </si>
  <si>
    <t>Neil Lester</t>
  </si>
  <si>
    <t>miguelkim@harrington.com</t>
  </si>
  <si>
    <t>A0016</t>
  </si>
  <si>
    <t>Barbara Dominguez</t>
  </si>
  <si>
    <t>volson@jones-watts.com</t>
  </si>
  <si>
    <t>A0017</t>
  </si>
  <si>
    <t>David Williams</t>
  </si>
  <si>
    <t>hollymeadows@davis-allison.net</t>
  </si>
  <si>
    <t>A0018</t>
  </si>
  <si>
    <t>Nancy Lee</t>
  </si>
  <si>
    <t>stephen94@hotmail.com</t>
  </si>
  <si>
    <t>A0019</t>
  </si>
  <si>
    <t>Oscar Fowler</t>
  </si>
  <si>
    <t>uhayden@yahoo.com</t>
  </si>
  <si>
    <t>A0020</t>
  </si>
  <si>
    <t>Amy Miller</t>
  </si>
  <si>
    <t>susan21@yahoo.com</t>
  </si>
  <si>
    <t>A0021</t>
  </si>
  <si>
    <t>Lydia Mcdonald</t>
  </si>
  <si>
    <t>peggyfriedman@yahoo.com</t>
  </si>
  <si>
    <t>A0022</t>
  </si>
  <si>
    <t>Emily Mcdonald</t>
  </si>
  <si>
    <t>iwebb@mullins.com</t>
  </si>
  <si>
    <t>A0023</t>
  </si>
  <si>
    <t>Carolyn Graves</t>
  </si>
  <si>
    <t>brookenavarro@hotmail.com</t>
  </si>
  <si>
    <t>A0024</t>
  </si>
  <si>
    <t>Linda White</t>
  </si>
  <si>
    <t>nancy35@yahoo.com</t>
  </si>
  <si>
    <t>A0025</t>
  </si>
  <si>
    <t>Andrew Becker</t>
  </si>
  <si>
    <t>jeffreyshepherd@yahoo.com</t>
  </si>
  <si>
    <t>A0026</t>
  </si>
  <si>
    <t>Regina Zimmerman</t>
  </si>
  <si>
    <t>martindarrell@todd.com</t>
  </si>
  <si>
    <t>A0027</t>
  </si>
  <si>
    <t>Meagan Wheeler</t>
  </si>
  <si>
    <t>rsmith@schmidt.com</t>
  </si>
  <si>
    <t>A0028</t>
  </si>
  <si>
    <t>Lisa Green</t>
  </si>
  <si>
    <t>anthony55@gmail.com</t>
  </si>
  <si>
    <t>A0029</t>
  </si>
  <si>
    <t>Tammy Brown</t>
  </si>
  <si>
    <t>brittany10@williams-smith.com</t>
  </si>
  <si>
    <t>A0030</t>
  </si>
  <si>
    <t>Debbie Bryant MD</t>
  </si>
  <si>
    <t>kjohnson@yahoo.com</t>
  </si>
  <si>
    <t>A0031</t>
  </si>
  <si>
    <t>Felicia Parker</t>
  </si>
  <si>
    <t>jeffreyrivera@watkins.com</t>
  </si>
  <si>
    <t>A0032</t>
  </si>
  <si>
    <t>Raven Cruz</t>
  </si>
  <si>
    <t>trevor71@gmail.com</t>
  </si>
  <si>
    <t>A0033</t>
  </si>
  <si>
    <t>Bethany Evans</t>
  </si>
  <si>
    <t>simsjoseph@yahoo.com</t>
  </si>
  <si>
    <t>A0034</t>
  </si>
  <si>
    <t>Jeremy Hogan</t>
  </si>
  <si>
    <t>njohnson@gray.net</t>
  </si>
  <si>
    <t>A0035</t>
  </si>
  <si>
    <t>Joan Foster</t>
  </si>
  <si>
    <t>abrown@gmail.com</t>
  </si>
  <si>
    <t>A0036</t>
  </si>
  <si>
    <t>Isaac Deleon</t>
  </si>
  <si>
    <t>michelleperry@day.com</t>
  </si>
  <si>
    <t>A0037</t>
  </si>
  <si>
    <t>Nathan Gonzales</t>
  </si>
  <si>
    <t>isaiahbuckley@yahoo.com</t>
  </si>
  <si>
    <t>A0038</t>
  </si>
  <si>
    <t>Dawn Ruiz</t>
  </si>
  <si>
    <t>ballcourtney@yahoo.com</t>
  </si>
  <si>
    <t>A0039</t>
  </si>
  <si>
    <t>Sharon George</t>
  </si>
  <si>
    <t>kristina80@nichols.com</t>
  </si>
  <si>
    <t>A0040</t>
  </si>
  <si>
    <t>Sarah Pratt</t>
  </si>
  <si>
    <t>srichards@gmail.com</t>
  </si>
  <si>
    <t>A0041</t>
  </si>
  <si>
    <t>Carlos Patrick</t>
  </si>
  <si>
    <t>devin54@carpenter.net</t>
  </si>
  <si>
    <t>A0042</t>
  </si>
  <si>
    <t>Kevin Morrison</t>
  </si>
  <si>
    <t>daviseric@gmail.com</t>
  </si>
  <si>
    <t>A0043</t>
  </si>
  <si>
    <t>Amber Vargas</t>
  </si>
  <si>
    <t>mkeller@miller-evans.com</t>
  </si>
  <si>
    <t>A0044</t>
  </si>
  <si>
    <t>Matthew Ayala</t>
  </si>
  <si>
    <t>carla47@boyer.com</t>
  </si>
  <si>
    <t>A0045</t>
  </si>
  <si>
    <t>Dylan Bowen</t>
  </si>
  <si>
    <t>crystal98@smith.net</t>
  </si>
  <si>
    <t>A0046</t>
  </si>
  <si>
    <t>Scott Moore</t>
  </si>
  <si>
    <t>paul42@gardner.biz</t>
  </si>
  <si>
    <t>A0047</t>
  </si>
  <si>
    <t>Richard Sawyer</t>
  </si>
  <si>
    <t>stevenanderson@gmail.com</t>
  </si>
  <si>
    <t>A0048</t>
  </si>
  <si>
    <t>Nicole Norris</t>
  </si>
  <si>
    <t>nmorris@yahoo.com</t>
  </si>
  <si>
    <t>A0049</t>
  </si>
  <si>
    <t>Patrick Farley</t>
  </si>
  <si>
    <t>moyerduane@page.net</t>
  </si>
  <si>
    <t>A0050</t>
  </si>
  <si>
    <t>Jacob Martinez</t>
  </si>
  <si>
    <t>lindamckenzie@yahoo.com</t>
  </si>
  <si>
    <t>A0051</t>
  </si>
  <si>
    <t>Julie Santiago</t>
  </si>
  <si>
    <t>jennifer57@wright.info</t>
  </si>
  <si>
    <t>A0052</t>
  </si>
  <si>
    <t>Rebecca Chapman</t>
  </si>
  <si>
    <t>sydneyhall@yahoo.com</t>
  </si>
  <si>
    <t>A0053</t>
  </si>
  <si>
    <t>Sarah Day</t>
  </si>
  <si>
    <t>antonio31@suarez.com</t>
  </si>
  <si>
    <t>A0054</t>
  </si>
  <si>
    <t>Laura Mueller</t>
  </si>
  <si>
    <t>webbmegan@murray.com</t>
  </si>
  <si>
    <t>A0055</t>
  </si>
  <si>
    <t>Bradley Rodgers</t>
  </si>
  <si>
    <t>jdunlap@gmail.com</t>
  </si>
  <si>
    <t>A0056</t>
  </si>
  <si>
    <t>Tracy Frazier</t>
  </si>
  <si>
    <t>michael45@yahoo.com</t>
  </si>
  <si>
    <t>A0057</t>
  </si>
  <si>
    <t>Michaela Mendoza</t>
  </si>
  <si>
    <t>klinecarlos@gmail.com</t>
  </si>
  <si>
    <t>A0058</t>
  </si>
  <si>
    <t>Kim Williams</t>
  </si>
  <si>
    <t>bradleymelissa@hotmail.com</t>
  </si>
  <si>
    <t>A0059</t>
  </si>
  <si>
    <t>Dustin Bird</t>
  </si>
  <si>
    <t>cantuscott@wilson.com</t>
  </si>
  <si>
    <t>A0060</t>
  </si>
  <si>
    <t>Jennifer Bell</t>
  </si>
  <si>
    <t>eatonlauren@yahoo.com</t>
  </si>
  <si>
    <t>A0061</t>
  </si>
  <si>
    <t>Kayla Burns</t>
  </si>
  <si>
    <t>anthony24@schmidt.biz</t>
  </si>
  <si>
    <t>A0062</t>
  </si>
  <si>
    <t>Natasha Schmidt</t>
  </si>
  <si>
    <t>mariopotts@burke.com</t>
  </si>
  <si>
    <t>A0063</t>
  </si>
  <si>
    <t>Kimberly Forbes</t>
  </si>
  <si>
    <t>blakeandrews@yahoo.com</t>
  </si>
  <si>
    <t>A0064</t>
  </si>
  <si>
    <t>Frank Stephens</t>
  </si>
  <si>
    <t>amymalone@mayer-roberson.com</t>
  </si>
  <si>
    <t>A0065</t>
  </si>
  <si>
    <t>James Heath</t>
  </si>
  <si>
    <t>morganstacy@chavez.info</t>
  </si>
  <si>
    <t>A0066</t>
  </si>
  <si>
    <t>Cody Parker</t>
  </si>
  <si>
    <t>xdeleon@reynolds-smith.com</t>
  </si>
  <si>
    <t>A0067</t>
  </si>
  <si>
    <t>Bradley Griffin</t>
  </si>
  <si>
    <t>john38@evans-johnson.com</t>
  </si>
  <si>
    <t>A0068</t>
  </si>
  <si>
    <t>James Hood</t>
  </si>
  <si>
    <t>mary24@espinoza.com</t>
  </si>
  <si>
    <t>A0069</t>
  </si>
  <si>
    <t>Shannon Bradford</t>
  </si>
  <si>
    <t>ewhite@gmail.com</t>
  </si>
  <si>
    <t>A0070</t>
  </si>
  <si>
    <t>Kimberly Saunders</t>
  </si>
  <si>
    <t>mpetty@wood.org</t>
  </si>
  <si>
    <t>A0071</t>
  </si>
  <si>
    <t>Michelle Chavez</t>
  </si>
  <si>
    <t>natalieclayton@contreras-reilly.org</t>
  </si>
  <si>
    <t>A0072</t>
  </si>
  <si>
    <t>Laurie Scott</t>
  </si>
  <si>
    <t>ashley48@roberts-osborne.com</t>
  </si>
  <si>
    <t>A0073</t>
  </si>
  <si>
    <t>Patrick Cox</t>
  </si>
  <si>
    <t>grant63@gmail.com</t>
  </si>
  <si>
    <t>A0074</t>
  </si>
  <si>
    <t>Courtney Conner</t>
  </si>
  <si>
    <t>matthewsjessica@stevens-baker.org</t>
  </si>
  <si>
    <t>A0075</t>
  </si>
  <si>
    <t>Robert Roberts</t>
  </si>
  <si>
    <t>milleralex@johnson.biz</t>
  </si>
  <si>
    <t>A0076</t>
  </si>
  <si>
    <t>Heather Rivera</t>
  </si>
  <si>
    <t>stacy40@gmail.com</t>
  </si>
  <si>
    <t>A0077</t>
  </si>
  <si>
    <t>Nicholas Moran</t>
  </si>
  <si>
    <t>morgan12@yahoo.com</t>
  </si>
  <si>
    <t>A0078</t>
  </si>
  <si>
    <t>Timothy Cook</t>
  </si>
  <si>
    <t>livingstonrichard@yahoo.com</t>
  </si>
  <si>
    <t>A0079</t>
  </si>
  <si>
    <t>Robert Parks</t>
  </si>
  <si>
    <t>sreynolds@anderson.com</t>
  </si>
  <si>
    <t>A0080</t>
  </si>
  <si>
    <t>Edward Barker</t>
  </si>
  <si>
    <t>courtney57@gmail.com</t>
  </si>
  <si>
    <t>A0081</t>
  </si>
  <si>
    <t>William Pierce</t>
  </si>
  <si>
    <t>hoffmancraig@mckenzie.com</t>
  </si>
  <si>
    <t>A0082</t>
  </si>
  <si>
    <t>Judith Miller</t>
  </si>
  <si>
    <t>zacharyroy@gmail.com</t>
  </si>
  <si>
    <t>A0083</t>
  </si>
  <si>
    <t>Alan Liu</t>
  </si>
  <si>
    <t>wrangel@hotmail.com</t>
  </si>
  <si>
    <t>A0084</t>
  </si>
  <si>
    <t>James Villarreal</t>
  </si>
  <si>
    <t>henry03@obrien.net</t>
  </si>
  <si>
    <t>A0085</t>
  </si>
  <si>
    <t>Christopher Boyer</t>
  </si>
  <si>
    <t>michaelunderwood@gmail.com</t>
  </si>
  <si>
    <t>A0086</t>
  </si>
  <si>
    <t>Colin Kramer</t>
  </si>
  <si>
    <t>shawnoconnor@hotmail.com</t>
  </si>
  <si>
    <t>A0087</t>
  </si>
  <si>
    <t>Jacob Benton</t>
  </si>
  <si>
    <t>nathan01@costa-thomas.info</t>
  </si>
  <si>
    <t>A0088</t>
  </si>
  <si>
    <t>Elizabeth Orozco</t>
  </si>
  <si>
    <t>pamelagonzalez@rodriguez.com</t>
  </si>
  <si>
    <t>A0089</t>
  </si>
  <si>
    <t>Christopher Potts</t>
  </si>
  <si>
    <t>cynthia21@foley.com</t>
  </si>
  <si>
    <t>A0090</t>
  </si>
  <si>
    <t>Rodney Jones</t>
  </si>
  <si>
    <t>vaughncaleb@yahoo.com</t>
  </si>
  <si>
    <t>A0091</t>
  </si>
  <si>
    <t>Carlos Ray</t>
  </si>
  <si>
    <t>matthewhayes@gibson-tucker.org</t>
  </si>
  <si>
    <t>A0092</t>
  </si>
  <si>
    <t>Veronica Wall</t>
  </si>
  <si>
    <t>riggsjeffrey@jackson.com</t>
  </si>
  <si>
    <t>A0093</t>
  </si>
  <si>
    <t>Susan Johnson</t>
  </si>
  <si>
    <t>larryewing@hotmail.com</t>
  </si>
  <si>
    <t>A0094</t>
  </si>
  <si>
    <t>Sarah Lewis</t>
  </si>
  <si>
    <t>williamramos@wood.com</t>
  </si>
  <si>
    <t>A0095</t>
  </si>
  <si>
    <t>Mark Patterson</t>
  </si>
  <si>
    <t>davenportrobert@johnson.biz</t>
  </si>
  <si>
    <t>A0096</t>
  </si>
  <si>
    <t>Stephanie Davis</t>
  </si>
  <si>
    <t>james41@jackson.com</t>
  </si>
  <si>
    <t>A0097</t>
  </si>
  <si>
    <t>Julia Brown</t>
  </si>
  <si>
    <t>gonzalesjames@gmail.com</t>
  </si>
  <si>
    <t>A0098</t>
  </si>
  <si>
    <t>James Kane</t>
  </si>
  <si>
    <t>deanmolly@hall.com</t>
  </si>
  <si>
    <t>A0099</t>
  </si>
  <si>
    <t>Melissa Parker</t>
  </si>
  <si>
    <t>nicoleflores@davis-hernandez.com</t>
  </si>
  <si>
    <t>A0100</t>
  </si>
  <si>
    <t>Emily Williams</t>
  </si>
  <si>
    <t>hpotts@yahoo.com</t>
  </si>
  <si>
    <t>Target profit</t>
  </si>
  <si>
    <t>Marketing costs</t>
  </si>
  <si>
    <t>Operational costs</t>
  </si>
  <si>
    <t>Attendee ID</t>
  </si>
  <si>
    <t>Attendance Preference</t>
  </si>
  <si>
    <t>Ticket Price Preference</t>
  </si>
  <si>
    <t>Session</t>
  </si>
  <si>
    <t>TicketPrice</t>
  </si>
  <si>
    <t>Workshop</t>
  </si>
  <si>
    <t>KeySessionWorkshop</t>
  </si>
  <si>
    <t>Dietary Items</t>
  </si>
  <si>
    <t>Grand Total</t>
  </si>
  <si>
    <t>2022</t>
  </si>
  <si>
    <t>2023</t>
  </si>
  <si>
    <t>2024</t>
  </si>
  <si>
    <t>2025</t>
  </si>
  <si>
    <t>Count of Attendee ID</t>
  </si>
  <si>
    <t>Registrations</t>
  </si>
  <si>
    <t>nov</t>
  </si>
  <si>
    <t>dic</t>
  </si>
  <si>
    <t>gen</t>
  </si>
  <si>
    <t>feb</t>
  </si>
  <si>
    <t>mar</t>
  </si>
  <si>
    <t>apr</t>
  </si>
  <si>
    <t>mag</t>
  </si>
  <si>
    <t>giu</t>
  </si>
  <si>
    <t>lug</t>
  </si>
  <si>
    <t>ago</t>
  </si>
  <si>
    <t>set</t>
  </si>
  <si>
    <t>ott</t>
  </si>
  <si>
    <t>Registration Timeline</t>
  </si>
  <si>
    <t>Forecast (Number of Registrations)</t>
  </si>
  <si>
    <t>Numer of Registrations</t>
  </si>
  <si>
    <t>Forecasted Revenues</t>
  </si>
  <si>
    <t>Average Ticket Price</t>
  </si>
  <si>
    <t>Predicted Attendance</t>
  </si>
  <si>
    <t>Profit</t>
  </si>
  <si>
    <t>Operational Costs</t>
  </si>
  <si>
    <t>Estimated Marketing Costs</t>
  </si>
  <si>
    <t>Workshop D</t>
  </si>
  <si>
    <t>Total attendees</t>
  </si>
  <si>
    <t>Revenues</t>
  </si>
  <si>
    <t>Revenues per Session type</t>
  </si>
  <si>
    <t>Attendee trend overtime</t>
  </si>
  <si>
    <t>Row Labels</t>
  </si>
  <si>
    <t>Ticket sales</t>
  </si>
  <si>
    <t>Monthly summary</t>
  </si>
  <si>
    <t>Attendance</t>
  </si>
  <si>
    <t>Parameters</t>
  </si>
  <si>
    <t>Break even</t>
  </si>
  <si>
    <t>Profit 50.000</t>
  </si>
  <si>
    <t>???</t>
  </si>
  <si>
    <t>Profit 100.000</t>
  </si>
  <si>
    <t>SCENARIOUS</t>
  </si>
  <si>
    <t>Formuls for Scenario creation</t>
  </si>
  <si>
    <t>Total Costs</t>
  </si>
  <si>
    <t>Created by Massimo Conforti on 03/11/2025
Modified by Massimo Conforti on 03/11/2025</t>
  </si>
  <si>
    <t>Scenario Summary</t>
  </si>
  <si>
    <t>Changing Cells:</t>
  </si>
  <si>
    <t>Result Cells:</t>
  </si>
  <si>
    <t>Notes: Current Values column represents values of changing cells at</t>
  </si>
  <si>
    <t>time Scenario Summary Report was created.  Changing cells for each</t>
  </si>
  <si>
    <t>scenario are highlighted in grey.</t>
  </si>
  <si>
    <t>Break-Even 50K 
– Low Cost 
– Adjusted Price 
– Forecasted Attendance</t>
  </si>
  <si>
    <t>Profit 50K 
– Low Cost 
– Adjusted Price 
– Forecasted Attendance</t>
  </si>
  <si>
    <t>Profit 50K 
– Low Cost 
– Break-Even-Based Price 
– Target Attendance</t>
  </si>
  <si>
    <t>Break-Even 100K 
– High Cost 
– Adjusted Price 
– Forecasted Attendance</t>
  </si>
  <si>
    <t>Profit 100K 
– High Cost 
– Adjusted Price 
– Forecasted Attendance</t>
  </si>
  <si>
    <t>Profit 100K 
– High Cost 
– Break-Even-Based Price 
– Target Attendance</t>
  </si>
  <si>
    <t>Total_Costs</t>
  </si>
  <si>
    <t>Ticket_Price</t>
  </si>
  <si>
    <t>PROFIT ASSUMPTIONS 50K</t>
  </si>
  <si>
    <t>PROFIT ASSUMPTIONS 100K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</si>
</sst>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_-;\-* #,##0_-;_-* &quot;-&quot;??_-;_-@"/>
    <numFmt numFmtId="165" formatCode="&quot;€&quot;#,##0.00"/>
    <numFmt numFmtId="166" formatCode="_-* #,##0\ [$€-410]_-;\-* #,##0\ [$€-410]_-;_-* &quot;-&quot;??\ [$€-410]_-;_-@_-"/>
    <numFmt numFmtId="167" formatCode="mmm\-yyyy"/>
    <numFmt numFmtId="168" formatCode="#,##0\ &quot;€&quot;"/>
  </numFmts>
  <fonts count="26">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font>
    <font>
      <sz val="11"/>
      <color theme="1"/>
      <name val="Calibri"/>
      <family val="2"/>
      <scheme val="minor"/>
    </font>
    <font>
      <sz val="11"/>
      <color theme="1"/>
      <name val="Calibri"/>
      <family val="2"/>
    </font>
    <font>
      <sz val="10"/>
      <color rgb="FF0F1114"/>
      <name val="Source Sans Pro"/>
      <family val="2"/>
    </font>
    <font>
      <b/>
      <sz val="10"/>
      <color rgb="FF0F1114"/>
      <name val="Unset"/>
    </font>
    <font>
      <b/>
      <sz val="11"/>
      <color theme="1"/>
      <name val="Calibri"/>
      <family val="2"/>
    </font>
    <font>
      <sz val="11"/>
      <color theme="1"/>
      <name val="Calibri"/>
      <family val="2"/>
    </font>
    <font>
      <b/>
      <sz val="11"/>
      <color theme="0"/>
      <name val="Calibri"/>
      <family val="2"/>
      <scheme val="minor"/>
    </font>
    <font>
      <b/>
      <sz val="11"/>
      <color theme="1"/>
      <name val="Calibri"/>
      <family val="2"/>
      <scheme val="minor"/>
    </font>
    <font>
      <sz val="8"/>
      <name val="Calibri"/>
      <family val="2"/>
      <scheme val="minor"/>
    </font>
    <font>
      <b/>
      <sz val="14"/>
      <color theme="1"/>
      <name val="Calibri"/>
      <family val="2"/>
      <scheme val="minor"/>
    </font>
    <font>
      <b/>
      <sz val="16"/>
      <color theme="1"/>
      <name val="Calibri"/>
      <family val="2"/>
      <scheme val="minor"/>
    </font>
    <font>
      <b/>
      <sz val="10"/>
      <color rgb="FF0F1114"/>
      <name val="Source Sans Pro"/>
      <family val="2"/>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s>
  <fills count="6">
    <fill>
      <patternFill patternType="none"/>
    </fill>
    <fill>
      <patternFill patternType="gray125"/>
    </fill>
    <fill>
      <patternFill patternType="solid">
        <fgColor theme="4"/>
        <bgColor theme="4"/>
      </patternFill>
    </fill>
    <fill>
      <patternFill patternType="solid">
        <fgColor indexed="22"/>
        <bgColor indexed="24"/>
      </patternFill>
    </fill>
    <fill>
      <patternFill patternType="solid">
        <fgColor indexed="22"/>
        <bgColor indexed="7"/>
      </patternFill>
    </fill>
    <fill>
      <patternFill patternType="solid">
        <fgColor theme="4"/>
        <bgColor indexed="24"/>
      </patternFill>
    </fill>
  </fills>
  <borders count="8">
    <border>
      <left/>
      <right/>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medium">
        <color indexed="64"/>
      </top>
      <bottom/>
      <diagonal/>
    </border>
    <border>
      <left/>
      <right/>
      <top/>
      <bottom style="medium">
        <color indexed="64"/>
      </bottom>
      <diagonal/>
    </border>
    <border>
      <left/>
      <right/>
      <top/>
      <bottom style="thin">
        <color indexed="64"/>
      </bottom>
      <diagonal/>
    </border>
    <border>
      <left/>
      <right/>
      <top style="thin">
        <color indexed="64"/>
      </top>
      <bottom style="thin">
        <color indexed="64"/>
      </bottom>
      <diagonal/>
    </border>
  </borders>
  <cellStyleXfs count="1">
    <xf numFmtId="0" fontId="0" fillId="0" borderId="0"/>
  </cellStyleXfs>
  <cellXfs count="72">
    <xf numFmtId="0" fontId="0" fillId="0" borderId="0" xfId="0"/>
    <xf numFmtId="165" fontId="9" fillId="0" borderId="0" xfId="0" applyNumberFormat="1" applyFont="1"/>
    <xf numFmtId="0" fontId="12" fillId="0" borderId="0" xfId="0" applyFont="1" applyAlignment="1">
      <alignment vertical="center" wrapText="1"/>
    </xf>
    <xf numFmtId="0" fontId="11" fillId="0" borderId="0" xfId="0" applyFont="1" applyAlignment="1">
      <alignment vertical="center" wrapText="1"/>
    </xf>
    <xf numFmtId="0" fontId="7" fillId="0" borderId="0" xfId="0" applyFont="1"/>
    <xf numFmtId="166" fontId="0" fillId="0" borderId="0" xfId="0" applyNumberFormat="1"/>
    <xf numFmtId="0" fontId="9" fillId="0" borderId="0" xfId="0" applyFont="1"/>
    <xf numFmtId="0" fontId="6" fillId="0" borderId="0" xfId="0" applyFont="1"/>
    <xf numFmtId="0" fontId="5" fillId="0" borderId="0" xfId="0" applyFont="1"/>
    <xf numFmtId="166" fontId="5" fillId="0" borderId="0" xfId="0" applyNumberFormat="1" applyFont="1"/>
    <xf numFmtId="0" fontId="4" fillId="0" borderId="0" xfId="0" applyFont="1"/>
    <xf numFmtId="14" fontId="10" fillId="0" borderId="0" xfId="0" applyNumberFormat="1" applyFont="1"/>
    <xf numFmtId="14" fontId="0" fillId="0" borderId="0" xfId="0" applyNumberFormat="1"/>
    <xf numFmtId="166" fontId="3" fillId="0" borderId="0" xfId="0" applyNumberFormat="1" applyFont="1"/>
    <xf numFmtId="0" fontId="0" fillId="0" borderId="0" xfId="0" pivotButton="1"/>
    <xf numFmtId="0" fontId="0" fillId="0" borderId="0" xfId="0" applyAlignment="1">
      <alignment horizontal="left"/>
    </xf>
    <xf numFmtId="0" fontId="0" fillId="0" borderId="0" xfId="0" applyAlignment="1">
      <alignment horizontal="left" indent="1"/>
    </xf>
    <xf numFmtId="0" fontId="2" fillId="0" borderId="0" xfId="0" applyFont="1"/>
    <xf numFmtId="167" fontId="0" fillId="0" borderId="0" xfId="0" applyNumberFormat="1"/>
    <xf numFmtId="1" fontId="0" fillId="0" borderId="0" xfId="0" applyNumberFormat="1"/>
    <xf numFmtId="0" fontId="0" fillId="0" borderId="2" xfId="0" applyBorder="1"/>
    <xf numFmtId="1" fontId="0" fillId="0" borderId="2" xfId="0" applyNumberFormat="1" applyBorder="1"/>
    <xf numFmtId="166" fontId="0" fillId="0" borderId="2" xfId="0" applyNumberFormat="1" applyBorder="1"/>
    <xf numFmtId="166" fontId="10" fillId="0" borderId="2" xfId="0" applyNumberFormat="1" applyFont="1" applyBorder="1" applyAlignment="1">
      <alignment horizontal="right"/>
    </xf>
    <xf numFmtId="166" fontId="10" fillId="0" borderId="2" xfId="0" applyNumberFormat="1" applyFont="1" applyBorder="1"/>
    <xf numFmtId="0" fontId="15" fillId="2" borderId="0" xfId="0" applyFont="1" applyFill="1" applyAlignment="1">
      <alignment horizontal="center" vertical="center" wrapText="1"/>
    </xf>
    <xf numFmtId="10" fontId="0" fillId="0" borderId="0" xfId="0" applyNumberFormat="1"/>
    <xf numFmtId="0" fontId="18" fillId="0" borderId="0" xfId="0" applyFont="1" applyAlignment="1">
      <alignment horizontal="center" vertical="center" wrapText="1"/>
    </xf>
    <xf numFmtId="0" fontId="18" fillId="0" borderId="0" xfId="0" applyFont="1" applyAlignment="1">
      <alignment vertical="center" wrapText="1"/>
    </xf>
    <xf numFmtId="3" fontId="19" fillId="0" borderId="0" xfId="0" applyNumberFormat="1" applyFont="1" applyAlignment="1">
      <alignment horizontal="center" vertical="center"/>
    </xf>
    <xf numFmtId="3" fontId="19" fillId="0" borderId="0" xfId="0" applyNumberFormat="1" applyFont="1" applyAlignment="1">
      <alignment vertical="center"/>
    </xf>
    <xf numFmtId="168" fontId="19" fillId="0" borderId="0" xfId="0" applyNumberFormat="1" applyFont="1" applyAlignment="1">
      <alignment horizontal="center" vertical="center"/>
    </xf>
    <xf numFmtId="168" fontId="19" fillId="0" borderId="0" xfId="0" applyNumberFormat="1" applyFont="1" applyAlignment="1">
      <alignment vertical="center"/>
    </xf>
    <xf numFmtId="166" fontId="1" fillId="0" borderId="2" xfId="0" applyNumberFormat="1" applyFont="1" applyBorder="1" applyAlignment="1">
      <alignment horizontal="center" vertical="center"/>
    </xf>
    <xf numFmtId="1" fontId="1" fillId="0" borderId="2" xfId="0" applyNumberFormat="1" applyFont="1" applyBorder="1" applyAlignment="1">
      <alignment horizontal="center" vertical="center"/>
    </xf>
    <xf numFmtId="1" fontId="16" fillId="0" borderId="2" xfId="0" applyNumberFormat="1" applyFont="1" applyBorder="1"/>
    <xf numFmtId="0" fontId="20" fillId="0" borderId="2" xfId="0" applyFont="1" applyBorder="1" applyAlignment="1">
      <alignment horizontal="left" indent="2"/>
    </xf>
    <xf numFmtId="0" fontId="16" fillId="0" borderId="2" xfId="0" applyFont="1" applyBorder="1" applyAlignment="1">
      <alignment horizontal="left" indent="2"/>
    </xf>
    <xf numFmtId="0" fontId="1" fillId="0" borderId="2" xfId="0" applyFont="1" applyBorder="1" applyAlignment="1">
      <alignment vertical="center" wrapText="1"/>
    </xf>
    <xf numFmtId="0" fontId="16" fillId="0" borderId="2" xfId="0" applyFont="1" applyBorder="1" applyAlignment="1">
      <alignment horizontal="center" vertical="center" wrapText="1"/>
    </xf>
    <xf numFmtId="0" fontId="1" fillId="0" borderId="0" xfId="0" applyFont="1"/>
    <xf numFmtId="0" fontId="20" fillId="0" borderId="2" xfId="0" applyFont="1" applyBorder="1" applyAlignment="1">
      <alignment horizontal="left" indent="4"/>
    </xf>
    <xf numFmtId="0" fontId="16" fillId="0" borderId="2" xfId="0" applyFont="1" applyBorder="1"/>
    <xf numFmtId="0" fontId="20" fillId="0" borderId="2" xfId="0" applyFont="1" applyBorder="1"/>
    <xf numFmtId="0" fontId="8" fillId="0" borderId="2" xfId="0" applyFont="1" applyBorder="1"/>
    <xf numFmtId="166" fontId="10" fillId="0" borderId="0" xfId="0" applyNumberFormat="1" applyFont="1"/>
    <xf numFmtId="166" fontId="10" fillId="0" borderId="0" xfId="0" applyNumberFormat="1" applyFont="1" applyAlignment="1">
      <alignment horizontal="right"/>
    </xf>
    <xf numFmtId="0" fontId="0" fillId="0" borderId="0" xfId="0" applyAlignment="1">
      <alignment wrapText="1"/>
    </xf>
    <xf numFmtId="166" fontId="0" fillId="0" borderId="5" xfId="0" applyNumberFormat="1" applyBorder="1"/>
    <xf numFmtId="0" fontId="0" fillId="0" borderId="7" xfId="0" applyBorder="1"/>
    <xf numFmtId="0" fontId="22" fillId="3" borderId="0" xfId="0" applyFont="1" applyFill="1" applyAlignment="1">
      <alignment horizontal="left"/>
    </xf>
    <xf numFmtId="0" fontId="23" fillId="3" borderId="7" xfId="0" applyFont="1" applyFill="1" applyBorder="1" applyAlignment="1">
      <alignment horizontal="left"/>
    </xf>
    <xf numFmtId="0" fontId="22" fillId="3" borderId="5" xfId="0" applyFont="1" applyFill="1" applyBorder="1" applyAlignment="1">
      <alignment horizontal="left"/>
    </xf>
    <xf numFmtId="166" fontId="0" fillId="4" borderId="0" xfId="0" applyNumberFormat="1" applyFill="1"/>
    <xf numFmtId="1" fontId="0" fillId="4" borderId="0" xfId="0" applyNumberFormat="1" applyFill="1"/>
    <xf numFmtId="0" fontId="25" fillId="0" borderId="0" xfId="0" applyFont="1" applyAlignment="1">
      <alignment vertical="top" wrapText="1"/>
    </xf>
    <xf numFmtId="0" fontId="1" fillId="0" borderId="0" xfId="0" applyFont="1" applyAlignment="1">
      <alignment vertical="center" wrapText="1"/>
    </xf>
    <xf numFmtId="0" fontId="0" fillId="0" borderId="0" xfId="0" applyAlignment="1">
      <alignment horizontal="left" vertical="center" wrapText="1"/>
    </xf>
    <xf numFmtId="0" fontId="16" fillId="0" borderId="2" xfId="0" applyFont="1" applyBorder="1" applyAlignment="1">
      <alignment horizontal="center" vertical="center"/>
    </xf>
    <xf numFmtId="166" fontId="0" fillId="0" borderId="3" xfId="0" applyNumberFormat="1" applyBorder="1"/>
    <xf numFmtId="0" fontId="10" fillId="0" borderId="2" xfId="0" applyFont="1" applyBorder="1" applyAlignment="1">
      <alignment horizontal="left" indent="2"/>
    </xf>
    <xf numFmtId="164" fontId="10" fillId="0" borderId="2" xfId="0" applyNumberFormat="1" applyFont="1" applyBorder="1"/>
    <xf numFmtId="164" fontId="10" fillId="0" borderId="2" xfId="0" applyNumberFormat="1" applyFont="1" applyBorder="1" applyAlignment="1">
      <alignment horizontal="right"/>
    </xf>
    <xf numFmtId="0" fontId="8" fillId="0" borderId="0" xfId="0" applyFont="1" applyAlignment="1">
      <alignment horizontal="center" vertical="center" wrapText="1"/>
    </xf>
    <xf numFmtId="14" fontId="8" fillId="0" borderId="0" xfId="0" applyNumberFormat="1" applyFont="1" applyAlignment="1">
      <alignment horizontal="center" vertical="center" wrapText="1"/>
    </xf>
    <xf numFmtId="0" fontId="13" fillId="0" borderId="1" xfId="0" applyFont="1" applyBorder="1" applyAlignment="1">
      <alignment horizontal="center" vertical="top" wrapText="1"/>
    </xf>
    <xf numFmtId="166" fontId="14" fillId="0" borderId="0" xfId="0" applyNumberFormat="1" applyFont="1" applyAlignment="1">
      <alignment horizontal="center" vertical="center" wrapText="1"/>
    </xf>
    <xf numFmtId="0" fontId="0" fillId="0" borderId="0" xfId="0" applyAlignment="1">
      <alignment horizontal="center" vertical="center" wrapText="1"/>
    </xf>
    <xf numFmtId="0" fontId="21" fillId="5" borderId="4" xfId="0" applyFont="1" applyFill="1" applyBorder="1" applyAlignment="1">
      <alignment horizontal="left"/>
    </xf>
    <xf numFmtId="0" fontId="24" fillId="5" borderId="4" xfId="0" applyFont="1" applyFill="1" applyBorder="1" applyAlignment="1">
      <alignment horizontal="right"/>
    </xf>
    <xf numFmtId="0" fontId="21" fillId="5" borderId="6" xfId="0" applyFont="1" applyFill="1" applyBorder="1" applyAlignment="1">
      <alignment horizontal="left"/>
    </xf>
    <xf numFmtId="0" fontId="24" fillId="5" borderId="6" xfId="0" applyFont="1" applyFill="1" applyBorder="1" applyAlignment="1">
      <alignment horizontal="left" vertical="center" wrapText="1"/>
    </xf>
  </cellXfs>
  <cellStyles count="1">
    <cellStyle name="Обычный" xfId="0" builtinId="0"/>
  </cellStyles>
  <dxfs count="23">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66" formatCode="_-* #,##0\ [$€-410]_-;\-* #,##0\ [$€-410]_-;_-* &quot;-&quot;??\ [$€-410]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 formatCode="0"/>
    </dxf>
    <dxf>
      <numFmt numFmtId="167" formatCode="mmm\-yyyy"/>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dxf>
    <dxf>
      <font>
        <b val="0"/>
        <family val="2"/>
      </font>
      <numFmt numFmtId="166" formatCode="_-* #,##0\ [$€-410]_-;\-* #,##0\ [$€-410]_-;_-* &quot;-&quot;??\ [$€-410]_-;_-@_-"/>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none"/>
      </font>
      <numFmt numFmtId="19" formatCode="dd/mm/yyyy"/>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1"/>
        <name val="Calibri"/>
        <scheme val="none"/>
      </font>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theme" Target="theme/theme1.xml"/><Relationship Id="rId2" Type="http://schemas.openxmlformats.org/officeDocument/2006/relationships/worksheet" Target="worksheets/sheet2.xml"/><Relationship Id="rId16" Type="http://customschemas.google.com/relationships/workbookmetadata" Target="metadata"/><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0" Type="http://schemas.openxmlformats.org/officeDocument/2006/relationships/pivotCacheDefinition" Target="pivotCache/pivotCacheDefinition1.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3"/>
    </mc:Choice>
    <mc:Fallback>
      <c:style val="3"/>
    </mc:Fallback>
  </mc:AlternateContent>
  <c:pivotSource>
    <c:name>[Conference-Dataset_Dashboard_Events.xlsm]Temp Data!Revenues</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Total revenues per</a:t>
            </a:r>
          </a:p>
          <a:p>
            <a:pPr>
              <a:defRPr/>
            </a:pPr>
            <a:r>
              <a:rPr lang="en-US" b="1">
                <a:solidFill>
                  <a:schemeClr val="tx1"/>
                </a:solidFill>
              </a:rPr>
              <a:t>Session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'Temp Data'!$B$1</c:f>
              <c:strCache>
                <c:ptCount val="1"/>
                <c:pt idx="0">
                  <c:v>Итог</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'Temp Data'!$A$2:$A$5</c:f>
              <c:strCache>
                <c:ptCount val="3"/>
                <c:pt idx="0">
                  <c:v>Leadership</c:v>
                </c:pt>
                <c:pt idx="1">
                  <c:v>Marketing</c:v>
                </c:pt>
                <c:pt idx="2">
                  <c:v>Technology</c:v>
                </c:pt>
              </c:strCache>
            </c:strRef>
          </c:cat>
          <c:val>
            <c:numRef>
              <c:f>'Temp Data'!$B$2:$B$5</c:f>
              <c:numCache>
                <c:formatCode>_-* #\ ##0\ [$€-410]_-;\-* #\ ##0\ [$€-410]_-;_-* "-"??\ [$€-410]_-;_-@_-</c:formatCode>
                <c:ptCount val="3"/>
                <c:pt idx="0">
                  <c:v>8640</c:v>
                </c:pt>
                <c:pt idx="1">
                  <c:v>8490</c:v>
                </c:pt>
                <c:pt idx="2">
                  <c:v>6950</c:v>
                </c:pt>
              </c:numCache>
            </c:numRef>
          </c:val>
          <c:extLst>
            <c:ext xmlns:c16="http://schemas.microsoft.com/office/drawing/2014/chart" uri="{C3380CC4-5D6E-409C-BE32-E72D297353CC}">
              <c16:uniqueId val="{00000000-93D9-45A4-8498-390DDB50C277}"/>
            </c:ext>
          </c:extLst>
        </c:ser>
        <c:dLbls>
          <c:showLegendKey val="0"/>
          <c:showVal val="0"/>
          <c:showCatName val="0"/>
          <c:showSerName val="0"/>
          <c:showPercent val="0"/>
          <c:showBubbleSize val="0"/>
        </c:dLbls>
        <c:gapWidth val="219"/>
        <c:overlap val="-27"/>
        <c:axId val="1204789967"/>
        <c:axId val="1204790447"/>
      </c:barChart>
      <c:catAx>
        <c:axId val="1204789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04790447"/>
        <c:crosses val="autoZero"/>
        <c:auto val="1"/>
        <c:lblAlgn val="ctr"/>
        <c:lblOffset val="100"/>
        <c:noMultiLvlLbl val="0"/>
      </c:catAx>
      <c:valAx>
        <c:axId val="1204790447"/>
        <c:scaling>
          <c:orientation val="minMax"/>
        </c:scaling>
        <c:delete val="0"/>
        <c:axPos val="l"/>
        <c:numFmt formatCode="_-* #\ ##0\ [$€-410]_-;\-* #\ ##0\ [$€-410]_-;_-* &quot;-&quot;??\ [$€-410]_-;_-@_-"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047899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317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3"/>
    </mc:Choice>
    <mc:Fallback>
      <c:style val="3"/>
    </mc:Fallback>
  </mc:AlternateContent>
  <c:pivotSource>
    <c:name>[Conference-Dataset_Dashboard_Events.xlsm]Temp Data!Attendee</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Attendee trend overtime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'Temp Data'!$E$1</c:f>
              <c:strCache>
                <c:ptCount val="1"/>
                <c:pt idx="0">
                  <c:v>Итог</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'Temp Data'!$D$2:$D$32</c:f>
              <c:multiLvlStrCache>
                <c:ptCount val="26"/>
                <c:lvl>
                  <c:pt idx="0">
                    <c:v>nov</c:v>
                  </c:pt>
                  <c:pt idx="1">
                    <c:v>dic</c:v>
                  </c:pt>
                  <c:pt idx="2">
                    <c:v>gen</c:v>
                  </c:pt>
                  <c:pt idx="3">
                    <c:v>feb</c:v>
                  </c:pt>
                  <c:pt idx="4">
                    <c:v>mar</c:v>
                  </c:pt>
                  <c:pt idx="5">
                    <c:v>apr</c:v>
                  </c:pt>
                  <c:pt idx="6">
                    <c:v>mag</c:v>
                  </c:pt>
                  <c:pt idx="7">
                    <c:v>giu</c:v>
                  </c:pt>
                  <c:pt idx="8">
                    <c:v>lug</c:v>
                  </c:pt>
                  <c:pt idx="9">
                    <c:v>ago</c:v>
                  </c:pt>
                  <c:pt idx="10">
                    <c:v>set</c:v>
                  </c:pt>
                  <c:pt idx="11">
                    <c:v>ott</c:v>
                  </c:pt>
                  <c:pt idx="12">
                    <c:v>nov</c:v>
                  </c:pt>
                  <c:pt idx="13">
                    <c:v>dic</c:v>
                  </c:pt>
                  <c:pt idx="14">
                    <c:v>gen</c:v>
                  </c:pt>
                  <c:pt idx="15">
                    <c:v>feb</c:v>
                  </c:pt>
                  <c:pt idx="16">
                    <c:v>mar</c:v>
                  </c:pt>
                  <c:pt idx="17">
                    <c:v>apr</c:v>
                  </c:pt>
                  <c:pt idx="18">
                    <c:v>mag</c:v>
                  </c:pt>
                  <c:pt idx="19">
                    <c:v>giu</c:v>
                  </c:pt>
                  <c:pt idx="20">
                    <c:v>lug</c:v>
                  </c:pt>
                  <c:pt idx="21">
                    <c:v>ago</c:v>
                  </c:pt>
                  <c:pt idx="22">
                    <c:v>set</c:v>
                  </c:pt>
                  <c:pt idx="23">
                    <c:v>ott</c:v>
                  </c:pt>
                  <c:pt idx="24">
                    <c:v>nov</c:v>
                  </c:pt>
                  <c:pt idx="25">
                    <c:v>gen</c:v>
                  </c:pt>
                </c:lvl>
                <c:lvl>
                  <c:pt idx="0">
                    <c:v>2022</c:v>
                  </c:pt>
                  <c:pt idx="2">
                    <c:v>2023</c:v>
                  </c:pt>
                  <c:pt idx="14">
                    <c:v>2024</c:v>
                  </c:pt>
                  <c:pt idx="25">
                    <c:v>2025</c:v>
                  </c:pt>
                </c:lvl>
              </c:multiLvlStrCache>
            </c:multiLvlStrRef>
          </c:cat>
          <c:val>
            <c:numRef>
              <c:f>'Temp Data'!$E$2:$E$32</c:f>
              <c:numCache>
                <c:formatCode>General</c:formatCode>
                <c:ptCount val="26"/>
                <c:pt idx="0">
                  <c:v>1</c:v>
                </c:pt>
                <c:pt idx="1">
                  <c:v>4</c:v>
                </c:pt>
                <c:pt idx="2">
                  <c:v>2</c:v>
                </c:pt>
                <c:pt idx="3">
                  <c:v>8</c:v>
                </c:pt>
                <c:pt idx="4">
                  <c:v>1</c:v>
                </c:pt>
                <c:pt idx="5">
                  <c:v>6</c:v>
                </c:pt>
                <c:pt idx="6">
                  <c:v>3</c:v>
                </c:pt>
                <c:pt idx="7">
                  <c:v>2</c:v>
                </c:pt>
                <c:pt idx="8">
                  <c:v>5</c:v>
                </c:pt>
                <c:pt idx="9">
                  <c:v>3</c:v>
                </c:pt>
                <c:pt idx="10">
                  <c:v>3</c:v>
                </c:pt>
                <c:pt idx="11">
                  <c:v>4</c:v>
                </c:pt>
                <c:pt idx="12">
                  <c:v>2</c:v>
                </c:pt>
                <c:pt idx="13">
                  <c:v>2</c:v>
                </c:pt>
                <c:pt idx="14">
                  <c:v>7</c:v>
                </c:pt>
                <c:pt idx="15">
                  <c:v>9</c:v>
                </c:pt>
                <c:pt idx="16">
                  <c:v>5</c:v>
                </c:pt>
                <c:pt idx="17">
                  <c:v>3</c:v>
                </c:pt>
                <c:pt idx="18">
                  <c:v>3</c:v>
                </c:pt>
                <c:pt idx="19">
                  <c:v>6</c:v>
                </c:pt>
                <c:pt idx="20">
                  <c:v>3</c:v>
                </c:pt>
                <c:pt idx="21">
                  <c:v>7</c:v>
                </c:pt>
                <c:pt idx="22">
                  <c:v>2</c:v>
                </c:pt>
                <c:pt idx="23">
                  <c:v>6</c:v>
                </c:pt>
                <c:pt idx="24">
                  <c:v>2</c:v>
                </c:pt>
                <c:pt idx="25">
                  <c:v>1</c:v>
                </c:pt>
              </c:numCache>
            </c:numRef>
          </c:val>
          <c:smooth val="0"/>
          <c:extLst>
            <c:ext xmlns:c16="http://schemas.microsoft.com/office/drawing/2014/chart" uri="{C3380CC4-5D6E-409C-BE32-E72D297353CC}">
              <c16:uniqueId val="{00000000-D23E-47B5-BC27-EA8A05708F7F}"/>
            </c:ext>
          </c:extLst>
        </c:ser>
        <c:dLbls>
          <c:showLegendKey val="0"/>
          <c:showVal val="0"/>
          <c:showCatName val="0"/>
          <c:showSerName val="0"/>
          <c:showPercent val="0"/>
          <c:showBubbleSize val="0"/>
        </c:dLbls>
        <c:marker val="1"/>
        <c:smooth val="0"/>
        <c:axId val="1229069759"/>
        <c:axId val="1229064479"/>
      </c:lineChart>
      <c:catAx>
        <c:axId val="1229069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29064479"/>
        <c:crosses val="autoZero"/>
        <c:auto val="1"/>
        <c:lblAlgn val="ctr"/>
        <c:lblOffset val="100"/>
        <c:noMultiLvlLbl val="0"/>
      </c:catAx>
      <c:valAx>
        <c:axId val="1229064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290697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317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3"/>
    </mc:Choice>
    <mc:Fallback>
      <c:style val="3"/>
    </mc:Fallback>
  </mc:AlternateContent>
  <c:pivotSource>
    <c:name>[Conference-Dataset_Dashboard_Events.xlsm]Temp Data!Attendance</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1" i="0" u="none" strike="noStrike" kern="1200" spc="0" baseline="0">
                <a:solidFill>
                  <a:schemeClr val="tx1"/>
                </a:solidFill>
                <a:effectLst/>
              </a:rPr>
              <a:t>Online vs In-person</a:t>
            </a:r>
          </a:p>
          <a:p>
            <a:pPr>
              <a:defRPr/>
            </a:pPr>
            <a:r>
              <a:rPr lang="en-GB" sz="1400" b="1" i="0" u="none" strike="noStrike" kern="1200" spc="0" baseline="0">
                <a:solidFill>
                  <a:schemeClr val="tx1"/>
                </a:solidFill>
                <a:effectLst/>
              </a:rPr>
              <a:t>attendance</a:t>
            </a:r>
            <a:endParaRPr lang="en-US" sz="1400" b="1" i="0" u="none" strike="noStrike" kern="1200" spc="0" baseline="0">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1">
              <a:shade val="76000"/>
            </a:schemeClr>
          </a:solidFill>
          <a:ln w="19050">
            <a:solidFill>
              <a:schemeClr val="lt1"/>
            </a:solidFill>
          </a:ln>
          <a:effectLst/>
        </c:spPr>
      </c:pivotFmt>
      <c:pivotFmt>
        <c:idx val="6"/>
        <c:spPr>
          <a:solidFill>
            <a:schemeClr val="accent1">
              <a:tint val="77000"/>
            </a:schemeClr>
          </a:solidFill>
          <a:ln w="19050">
            <a:solidFill>
              <a:schemeClr val="lt1"/>
            </a:solidFill>
          </a:ln>
          <a:effectLst/>
        </c:spPr>
      </c:pivotFmt>
    </c:pivotFmts>
    <c:plotArea>
      <c:layout/>
      <c:pieChart>
        <c:varyColors val="1"/>
        <c:ser>
          <c:idx val="0"/>
          <c:order val="0"/>
          <c:tx>
            <c:strRef>
              <c:f>'Temp Data'!$H$3</c:f>
              <c:strCache>
                <c:ptCount val="1"/>
                <c:pt idx="0">
                  <c:v>Итог</c:v>
                </c:pt>
              </c:strCache>
            </c:strRef>
          </c:tx>
          <c:dPt>
            <c:idx val="0"/>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1-0411-456B-A330-7EDE984CFC99}"/>
              </c:ext>
            </c:extLst>
          </c:dPt>
          <c:dPt>
            <c:idx val="1"/>
            <c:bubble3D val="0"/>
            <c:spPr>
              <a:solidFill>
                <a:schemeClr val="accent1">
                  <a:tint val="77000"/>
                </a:schemeClr>
              </a:solidFill>
              <a:ln w="19050">
                <a:solidFill>
                  <a:schemeClr val="lt1"/>
                </a:solidFill>
              </a:ln>
              <a:effectLst/>
            </c:spPr>
            <c:extLst>
              <c:ext xmlns:c16="http://schemas.microsoft.com/office/drawing/2014/chart" uri="{C3380CC4-5D6E-409C-BE32-E72D297353CC}">
                <c16:uniqueId val="{00000003-0411-456B-A330-7EDE984CFC9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'Temp Data'!$G$4:$G$6</c:f>
              <c:strCache>
                <c:ptCount val="2"/>
                <c:pt idx="0">
                  <c:v>In-Person</c:v>
                </c:pt>
                <c:pt idx="1">
                  <c:v>Online</c:v>
                </c:pt>
              </c:strCache>
            </c:strRef>
          </c:cat>
          <c:val>
            <c:numRef>
              <c:f>'Temp Data'!$H$4:$H$6</c:f>
              <c:numCache>
                <c:formatCode>0.00%</c:formatCode>
                <c:ptCount val="2"/>
                <c:pt idx="0">
                  <c:v>0.57999999999999996</c:v>
                </c:pt>
                <c:pt idx="1">
                  <c:v>0.42</c:v>
                </c:pt>
              </c:numCache>
            </c:numRef>
          </c:val>
          <c:extLst>
            <c:ext xmlns:c16="http://schemas.microsoft.com/office/drawing/2014/chart" uri="{C3380CC4-5D6E-409C-BE32-E72D297353CC}">
              <c16:uniqueId val="{00000004-0411-456B-A330-7EDE984CFC99}"/>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317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30480</xdr:colOff>
          <xdr:row>0</xdr:row>
          <xdr:rowOff>30480</xdr:rowOff>
        </xdr:from>
        <xdr:to>
          <xdr:col>10</xdr:col>
          <xdr:colOff>152400</xdr:colOff>
          <xdr:row>2</xdr:row>
          <xdr:rowOff>0</xdr:rowOff>
        </xdr:to>
        <xdr:sp macro="" textlink="">
          <xdr:nvSpPr>
            <xdr:cNvPr id="12289" name="cmdRunInterface"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68580</xdr:colOff>
      <xdr:row>0</xdr:row>
      <xdr:rowOff>53340</xdr:rowOff>
    </xdr:from>
    <xdr:to>
      <xdr:col>13</xdr:col>
      <xdr:colOff>0</xdr:colOff>
      <xdr:row>2</xdr:row>
      <xdr:rowOff>167640</xdr:rowOff>
    </xdr:to>
    <xdr:sp macro="" textlink="">
      <xdr:nvSpPr>
        <xdr:cNvPr id="2" name="Rectangle: Rounded Corners 1">
          <a:extLst>
            <a:ext uri="{FF2B5EF4-FFF2-40B4-BE49-F238E27FC236}">
              <a16:creationId xmlns:a16="http://schemas.microsoft.com/office/drawing/2014/main" id="{D6DFFD2F-28AB-47A8-B318-45781C77821A}"/>
            </a:ext>
          </a:extLst>
        </xdr:cNvPr>
        <xdr:cNvSpPr/>
      </xdr:nvSpPr>
      <xdr:spPr>
        <a:xfrm>
          <a:off x="68580" y="53340"/>
          <a:ext cx="9738360" cy="4800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800"/>
            <a:t>Event Dashboard</a:t>
          </a:r>
        </a:p>
      </xdr:txBody>
    </xdr:sp>
    <xdr:clientData/>
  </xdr:twoCellAnchor>
  <xdr:twoCellAnchor editAs="absolute">
    <xdr:from>
      <xdr:col>1</xdr:col>
      <xdr:colOff>914400</xdr:colOff>
      <xdr:row>3</xdr:row>
      <xdr:rowOff>45720</xdr:rowOff>
    </xdr:from>
    <xdr:to>
      <xdr:col>5</xdr:col>
      <xdr:colOff>510540</xdr:colOff>
      <xdr:row>4</xdr:row>
      <xdr:rowOff>137160</xdr:rowOff>
    </xdr:to>
    <xdr:sp macro="" textlink="">
      <xdr:nvSpPr>
        <xdr:cNvPr id="3" name="Rectangle: Rounded Corners 2">
          <a:extLst>
            <a:ext uri="{FF2B5EF4-FFF2-40B4-BE49-F238E27FC236}">
              <a16:creationId xmlns:a16="http://schemas.microsoft.com/office/drawing/2014/main" id="{4A7880EA-4645-4292-936E-0325D7359811}"/>
            </a:ext>
          </a:extLst>
        </xdr:cNvPr>
        <xdr:cNvSpPr/>
      </xdr:nvSpPr>
      <xdr:spPr>
        <a:xfrm>
          <a:off x="1181100" y="594360"/>
          <a:ext cx="3779520" cy="27432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400"/>
            <a:t>Key metrics</a:t>
          </a:r>
        </a:p>
      </xdr:txBody>
    </xdr:sp>
    <xdr:clientData/>
  </xdr:twoCellAnchor>
  <xdr:twoCellAnchor editAs="absolute">
    <xdr:from>
      <xdr:col>1</xdr:col>
      <xdr:colOff>0</xdr:colOff>
      <xdr:row>8</xdr:row>
      <xdr:rowOff>0</xdr:rowOff>
    </xdr:from>
    <xdr:to>
      <xdr:col>3</xdr:col>
      <xdr:colOff>2520</xdr:colOff>
      <xdr:row>18</xdr:row>
      <xdr:rowOff>0</xdr:rowOff>
    </xdr:to>
    <xdr:graphicFrame macro="">
      <xdr:nvGraphicFramePr>
        <xdr:cNvPr id="7" name="Chart 6">
          <a:extLst>
            <a:ext uri="{FF2B5EF4-FFF2-40B4-BE49-F238E27FC236}">
              <a16:creationId xmlns:a16="http://schemas.microsoft.com/office/drawing/2014/main" id="{CD295F8E-C56C-427C-B8CF-ACB8FCA7DC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0</xdr:colOff>
      <xdr:row>19</xdr:row>
      <xdr:rowOff>0</xdr:rowOff>
    </xdr:from>
    <xdr:to>
      <xdr:col>12</xdr:col>
      <xdr:colOff>60960</xdr:colOff>
      <xdr:row>30</xdr:row>
      <xdr:rowOff>15240</xdr:rowOff>
    </xdr:to>
    <xdr:graphicFrame macro="">
      <xdr:nvGraphicFramePr>
        <xdr:cNvPr id="8" name="Chart 7">
          <a:extLst>
            <a:ext uri="{FF2B5EF4-FFF2-40B4-BE49-F238E27FC236}">
              <a16:creationId xmlns:a16="http://schemas.microsoft.com/office/drawing/2014/main" id="{C6CAB619-289B-45B5-BE3F-DACB2643CD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4</xdr:col>
      <xdr:colOff>175260</xdr:colOff>
      <xdr:row>5</xdr:row>
      <xdr:rowOff>251460</xdr:rowOff>
    </xdr:from>
    <xdr:to>
      <xdr:col>4</xdr:col>
      <xdr:colOff>1173480</xdr:colOff>
      <xdr:row>7</xdr:row>
      <xdr:rowOff>91440</xdr:rowOff>
    </xdr:to>
    <xdr:sp macro="" textlink="">
      <xdr:nvSpPr>
        <xdr:cNvPr id="13" name="Rectangle: Rounded Corners 12">
          <a:extLst>
            <a:ext uri="{FF2B5EF4-FFF2-40B4-BE49-F238E27FC236}">
              <a16:creationId xmlns:a16="http://schemas.microsoft.com/office/drawing/2014/main" id="{13F99D31-2EDB-44C5-8074-D8916A36082B}"/>
            </a:ext>
          </a:extLst>
        </xdr:cNvPr>
        <xdr:cNvSpPr/>
      </xdr:nvSpPr>
      <xdr:spPr>
        <a:xfrm>
          <a:off x="3276600" y="1165860"/>
          <a:ext cx="998220" cy="457200"/>
        </a:xfrm>
        <a:prstGeom prst="roundRect">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6</xdr:col>
      <xdr:colOff>137160</xdr:colOff>
      <xdr:row>3</xdr:row>
      <xdr:rowOff>45720</xdr:rowOff>
    </xdr:from>
    <xdr:to>
      <xdr:col>12</xdr:col>
      <xdr:colOff>60960</xdr:colOff>
      <xdr:row>9</xdr:row>
      <xdr:rowOff>68580</xdr:rowOff>
    </xdr:to>
    <mc:AlternateContent xmlns:mc="http://schemas.openxmlformats.org/markup-compatibility/2006" xmlns:tsle="http://schemas.microsoft.com/office/drawing/2012/timeslicer">
      <mc:Choice Requires="tsle">
        <xdr:graphicFrame macro="">
          <xdr:nvGraphicFramePr>
            <xdr:cNvPr id="17" name="Registration Date">
              <a:extLst>
                <a:ext uri="{FF2B5EF4-FFF2-40B4-BE49-F238E27FC236}">
                  <a16:creationId xmlns:a16="http://schemas.microsoft.com/office/drawing/2014/main" id="{E7932DCF-6751-9AF8-D580-50A0E6A38689}"/>
                </a:ext>
              </a:extLst>
            </xdr:cNvPr>
            <xdr:cNvGraphicFramePr/>
          </xdr:nvGraphicFramePr>
          <xdr:xfrm>
            <a:off x="0" y="0"/>
            <a:ext cx="0" cy="0"/>
          </xdr:xfrm>
          <a:graphic>
            <a:graphicData uri="http://schemas.microsoft.com/office/drawing/2012/timeslicer">
              <tsle:timeslicer name="Registration Date"/>
            </a:graphicData>
          </a:graphic>
        </xdr:graphicFrame>
      </mc:Choice>
      <mc:Fallback xmlns="">
        <xdr:sp macro="" textlink="">
          <xdr:nvSpPr>
            <xdr:cNvPr id="0" name=""/>
            <xdr:cNvSpPr>
              <a:spLocks noTextEdit="1"/>
            </xdr:cNvSpPr>
          </xdr:nvSpPr>
          <xdr:spPr>
            <a:xfrm>
              <a:off x="5935980" y="594360"/>
              <a:ext cx="3665220" cy="1371600"/>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editAs="absolute">
    <xdr:from>
      <xdr:col>6</xdr:col>
      <xdr:colOff>137160</xdr:colOff>
      <xdr:row>9</xdr:row>
      <xdr:rowOff>68580</xdr:rowOff>
    </xdr:from>
    <xdr:to>
      <xdr:col>9</xdr:col>
      <xdr:colOff>68580</xdr:colOff>
      <xdr:row>18</xdr:row>
      <xdr:rowOff>0</xdr:rowOff>
    </xdr:to>
    <mc:AlternateContent xmlns:mc="http://schemas.openxmlformats.org/markup-compatibility/2006" xmlns:a14="http://schemas.microsoft.com/office/drawing/2010/main">
      <mc:Choice Requires="a14">
        <xdr:graphicFrame macro="">
          <xdr:nvGraphicFramePr>
            <xdr:cNvPr id="4" name="Session Preference">
              <a:extLst>
                <a:ext uri="{FF2B5EF4-FFF2-40B4-BE49-F238E27FC236}">
                  <a16:creationId xmlns:a16="http://schemas.microsoft.com/office/drawing/2014/main" id="{D71991F2-C461-BCD7-71AC-1DE09C752F75}"/>
                </a:ext>
              </a:extLst>
            </xdr:cNvPr>
            <xdr:cNvGraphicFramePr/>
          </xdr:nvGraphicFramePr>
          <xdr:xfrm>
            <a:off x="0" y="0"/>
            <a:ext cx="0" cy="0"/>
          </xdr:xfrm>
          <a:graphic>
            <a:graphicData uri="http://schemas.microsoft.com/office/drawing/2010/slicer">
              <sle:slicer xmlns:sle="http://schemas.microsoft.com/office/drawing/2010/slicer" name="Session Preference"/>
            </a:graphicData>
          </a:graphic>
        </xdr:graphicFrame>
      </mc:Choice>
      <mc:Fallback xmlns="">
        <xdr:sp macro="" textlink="">
          <xdr:nvSpPr>
            <xdr:cNvPr id="0" name=""/>
            <xdr:cNvSpPr>
              <a:spLocks noTextEdit="1"/>
            </xdr:cNvSpPr>
          </xdr:nvSpPr>
          <xdr:spPr>
            <a:xfrm>
              <a:off x="5935980" y="1965960"/>
              <a:ext cx="1828800" cy="140208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9</xdr:col>
      <xdr:colOff>83820</xdr:colOff>
      <xdr:row>9</xdr:row>
      <xdr:rowOff>68580</xdr:rowOff>
    </xdr:from>
    <xdr:to>
      <xdr:col>12</xdr:col>
      <xdr:colOff>68580</xdr:colOff>
      <xdr:row>18</xdr:row>
      <xdr:rowOff>0</xdr:rowOff>
    </xdr:to>
    <mc:AlternateContent xmlns:mc="http://schemas.openxmlformats.org/markup-compatibility/2006" xmlns:a14="http://schemas.microsoft.com/office/drawing/2010/main">
      <mc:Choice Requires="a14">
        <xdr:graphicFrame macro="">
          <xdr:nvGraphicFramePr>
            <xdr:cNvPr id="5" name="Attendance Preference">
              <a:extLst>
                <a:ext uri="{FF2B5EF4-FFF2-40B4-BE49-F238E27FC236}">
                  <a16:creationId xmlns:a16="http://schemas.microsoft.com/office/drawing/2014/main" id="{601C6A10-A80D-B51A-D929-5CD209AB24C4}"/>
                </a:ext>
              </a:extLst>
            </xdr:cNvPr>
            <xdr:cNvGraphicFramePr/>
          </xdr:nvGraphicFramePr>
          <xdr:xfrm>
            <a:off x="0" y="0"/>
            <a:ext cx="0" cy="0"/>
          </xdr:xfrm>
          <a:graphic>
            <a:graphicData uri="http://schemas.microsoft.com/office/drawing/2010/slicer">
              <sle:slicer xmlns:sle="http://schemas.microsoft.com/office/drawing/2010/slicer" name="Attendance Preference"/>
            </a:graphicData>
          </a:graphic>
        </xdr:graphicFrame>
      </mc:Choice>
      <mc:Fallback xmlns="">
        <xdr:sp macro="" textlink="">
          <xdr:nvSpPr>
            <xdr:cNvPr id="0" name=""/>
            <xdr:cNvSpPr>
              <a:spLocks noTextEdit="1"/>
            </xdr:cNvSpPr>
          </xdr:nvSpPr>
          <xdr:spPr>
            <a:xfrm>
              <a:off x="7780020" y="1965960"/>
              <a:ext cx="1828800" cy="140208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xdr:col>
      <xdr:colOff>190500</xdr:colOff>
      <xdr:row>5</xdr:row>
      <xdr:rowOff>251460</xdr:rowOff>
    </xdr:from>
    <xdr:to>
      <xdr:col>2</xdr:col>
      <xdr:colOff>1188720</xdr:colOff>
      <xdr:row>7</xdr:row>
      <xdr:rowOff>91440</xdr:rowOff>
    </xdr:to>
    <xdr:sp macro="" textlink="">
      <xdr:nvSpPr>
        <xdr:cNvPr id="6" name="Rectangle: Rounded Corners 5">
          <a:extLst>
            <a:ext uri="{FF2B5EF4-FFF2-40B4-BE49-F238E27FC236}">
              <a16:creationId xmlns:a16="http://schemas.microsoft.com/office/drawing/2014/main" id="{6C274013-7B6C-43F6-BDDC-65CBB5D1D353}"/>
            </a:ext>
          </a:extLst>
        </xdr:cNvPr>
        <xdr:cNvSpPr/>
      </xdr:nvSpPr>
      <xdr:spPr>
        <a:xfrm>
          <a:off x="1805940" y="1165860"/>
          <a:ext cx="998220" cy="457200"/>
        </a:xfrm>
        <a:prstGeom prst="roundRect">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4</xdr:col>
      <xdr:colOff>0</xdr:colOff>
      <xdr:row>8</xdr:row>
      <xdr:rowOff>1140</xdr:rowOff>
    </xdr:from>
    <xdr:to>
      <xdr:col>6</xdr:col>
      <xdr:colOff>2520</xdr:colOff>
      <xdr:row>18</xdr:row>
      <xdr:rowOff>0</xdr:rowOff>
    </xdr:to>
    <xdr:graphicFrame macro="">
      <xdr:nvGraphicFramePr>
        <xdr:cNvPr id="15" name="Chart 14">
          <a:extLst>
            <a:ext uri="{FF2B5EF4-FFF2-40B4-BE49-F238E27FC236}">
              <a16:creationId xmlns:a16="http://schemas.microsoft.com/office/drawing/2014/main" id="{997CD1A0-9955-4824-B09C-03E9A79935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411480</xdr:colOff>
          <xdr:row>0</xdr:row>
          <xdr:rowOff>99060</xdr:rowOff>
        </xdr:from>
        <xdr:to>
          <xdr:col>12</xdr:col>
          <xdr:colOff>60960</xdr:colOff>
          <xdr:row>2</xdr:row>
          <xdr:rowOff>129540</xdr:rowOff>
        </xdr:to>
        <xdr:sp macro="" textlink="">
          <xdr:nvSpPr>
            <xdr:cNvPr id="2049" name="cmdRefreshAll"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ssimo Conforti" refreshedDate="45963.81590277778" createdVersion="8" refreshedVersion="8" minRefreshableVersion="3" recordCount="100" xr:uid="{6BAD08F3-0639-4851-A523-27B23BBC8B68}">
  <cacheSource type="worksheet">
    <worksheetSource name="tblEventData"/>
  </cacheSource>
  <cacheFields count="12">
    <cacheField name="Attendee ID" numFmtId="0">
      <sharedItems/>
    </cacheField>
    <cacheField name="Name" numFmtId="0">
      <sharedItems/>
    </cacheField>
    <cacheField name="Email" numFmtId="0">
      <sharedItems/>
    </cacheField>
    <cacheField name="Registration Date" numFmtId="14">
      <sharedItems containsSemiMixedTypes="0" containsNonDate="0" containsDate="1" containsString="0" minDate="2022-11-13T00:00:00" maxDate="2025-01-12T00:00:00" count="95">
        <d v="2023-03-13T00:00:00"/>
        <d v="2025-01-11T00:00:00"/>
        <d v="2024-02-27T00:00:00"/>
        <d v="2023-07-07T00:00:00"/>
        <d v="2023-02-25T00:00:00"/>
        <d v="2023-08-17T00:00:00"/>
        <d v="2024-02-08T00:00:00"/>
        <d v="2023-06-17T00:00:00"/>
        <d v="2024-06-27T00:00:00"/>
        <d v="2024-01-22T00:00:00"/>
        <d v="2023-02-18T00:00:00"/>
        <d v="2024-02-09T00:00:00"/>
        <d v="2024-06-23T00:00:00"/>
        <d v="2023-12-09T00:00:00"/>
        <d v="2023-09-30T00:00:00"/>
        <d v="2024-07-01T00:00:00"/>
        <d v="2024-05-04T00:00:00"/>
        <d v="2023-10-14T00:00:00"/>
        <d v="2023-04-20T00:00:00"/>
        <d v="2023-07-24T00:00:00"/>
        <d v="2022-12-31T00:00:00"/>
        <d v="2024-02-21T00:00:00"/>
        <d v="2023-04-24T00:00:00"/>
        <d v="2024-03-22T00:00:00"/>
        <d v="2024-04-28T00:00:00"/>
        <d v="2023-10-31T00:00:00"/>
        <d v="2023-10-16T00:00:00"/>
        <d v="2024-08-26T00:00:00"/>
        <d v="2024-08-29T00:00:00"/>
        <d v="2024-01-08T00:00:00"/>
        <d v="2023-11-30T00:00:00"/>
        <d v="2024-03-17T00:00:00"/>
        <d v="2024-07-03T00:00:00"/>
        <d v="2024-07-11T00:00:00"/>
        <d v="2023-05-25T00:00:00"/>
        <d v="2024-01-16T00:00:00"/>
        <d v="2024-10-25T00:00:00"/>
        <d v="2024-06-13T00:00:00"/>
        <d v="2024-10-01T00:00:00"/>
        <d v="2024-09-25T00:00:00"/>
        <d v="2023-02-05T00:00:00"/>
        <d v="2023-01-15T00:00:00"/>
        <d v="2024-02-16T00:00:00"/>
        <d v="2024-01-31T00:00:00"/>
        <d v="2024-10-28T00:00:00"/>
        <d v="2023-02-09T00:00:00"/>
        <d v="2024-08-09T00:00:00"/>
        <d v="2024-03-02T00:00:00"/>
        <d v="2024-03-24T00:00:00"/>
        <d v="2023-08-04T00:00:00"/>
        <d v="2024-08-02T00:00:00"/>
        <d v="2024-11-02T00:00:00"/>
        <d v="2024-08-30T00:00:00"/>
        <d v="2023-02-22T00:00:00"/>
        <d v="2023-04-10T00:00:00"/>
        <d v="2023-02-21T00:00:00"/>
        <d v="2023-07-06T00:00:00"/>
        <d v="2023-02-14T00:00:00"/>
        <d v="2024-05-25T00:00:00"/>
        <d v="2024-04-09T00:00:00"/>
        <d v="2024-08-14T00:00:00"/>
        <d v="2023-12-03T00:00:00"/>
        <d v="2023-07-26T00:00:00"/>
        <d v="2022-12-20T00:00:00"/>
        <d v="2023-04-25T00:00:00"/>
        <d v="2024-01-24T00:00:00"/>
        <d v="2024-02-28T00:00:00"/>
        <d v="2023-05-02T00:00:00"/>
        <d v="2024-02-23T00:00:00"/>
        <d v="2022-12-14T00:00:00"/>
        <d v="2024-06-18T00:00:00"/>
        <d v="2023-04-03T00:00:00"/>
        <d v="2024-11-09T00:00:00"/>
        <d v="2024-04-17T00:00:00"/>
        <d v="2023-05-26T00:00:00"/>
        <d v="2022-12-26T00:00:00"/>
        <d v="2023-02-19T00:00:00"/>
        <d v="2022-11-13T00:00:00"/>
        <d v="2024-08-22T00:00:00"/>
        <d v="2024-06-16T00:00:00"/>
        <d v="2024-10-23T00:00:00"/>
        <d v="2024-10-16T00:00:00"/>
        <d v="2023-04-12T00:00:00"/>
        <d v="2023-09-09T00:00:00"/>
        <d v="2024-06-28T00:00:00"/>
        <d v="2023-01-17T00:00:00"/>
        <d v="2023-11-03T00:00:00"/>
        <d v="2023-10-25T00:00:00"/>
        <d v="2024-10-06T00:00:00"/>
        <d v="2024-09-27T00:00:00"/>
        <d v="2023-07-31T00:00:00"/>
        <d v="2023-06-24T00:00:00"/>
        <d v="2023-09-11T00:00:00"/>
        <d v="2024-02-11T00:00:00"/>
        <d v="2024-05-13T00:00:00"/>
      </sharedItems>
      <fieldGroup par="11"/>
    </cacheField>
    <cacheField name="Session Preference" numFmtId="0">
      <sharedItems count="3">
        <s v="Technology"/>
        <s v="Marketing"/>
        <s v="Leadership"/>
      </sharedItems>
    </cacheField>
    <cacheField name="Workshops" numFmtId="0">
      <sharedItems/>
    </cacheField>
    <cacheField name="Attendance Preference" numFmtId="0">
      <sharedItems count="2">
        <s v="Online"/>
        <s v="In-Person"/>
      </sharedItems>
    </cacheField>
    <cacheField name="Ticket Price Preference" numFmtId="166">
      <sharedItems containsSemiMixedTypes="0" containsString="0" containsNumber="1" containsInteger="1" minValue="200" maxValue="280"/>
    </cacheField>
    <cacheField name="Dietary Preference" numFmtId="0">
      <sharedItems/>
    </cacheField>
    <cacheField name="Months (Registration Date)" numFmtId="0" databaseField="0">
      <fieldGroup base="3">
        <rangePr groupBy="months" startDate="2022-11-13T00:00:00" endDate="2025-01-12T00:00:00"/>
        <groupItems count="14">
          <s v="&lt;13/11/2022"/>
          <s v="gen"/>
          <s v="feb"/>
          <s v="mar"/>
          <s v="apr"/>
          <s v="mag"/>
          <s v="giu"/>
          <s v="lug"/>
          <s v="ago"/>
          <s v="set"/>
          <s v="ott"/>
          <s v="nov"/>
          <s v="dic"/>
          <s v="&gt;12/01/2025"/>
        </groupItems>
      </fieldGroup>
    </cacheField>
    <cacheField name="Quarters (Registration Date)" numFmtId="0" databaseField="0">
      <fieldGroup base="3">
        <rangePr groupBy="quarters" startDate="2022-11-13T00:00:00" endDate="2025-01-12T00:00:00"/>
        <groupItems count="6">
          <s v="&lt;13/11/2022"/>
          <s v="Qtr1"/>
          <s v="Qtr2"/>
          <s v="Qtr3"/>
          <s v="Qtr4"/>
          <s v="&gt;12/01/2025"/>
        </groupItems>
      </fieldGroup>
    </cacheField>
    <cacheField name="Years (Registration Date)" numFmtId="0" databaseField="0">
      <fieldGroup base="3">
        <rangePr groupBy="years" startDate="2022-11-13T00:00:00" endDate="2025-01-12T00:00:00"/>
        <groupItems count="6">
          <s v="&lt;13/11/2022"/>
          <s v="2022"/>
          <s v="2023"/>
          <s v="2024"/>
          <s v="2025"/>
          <s v="&gt;12/01/2025"/>
        </groupItems>
      </fieldGroup>
    </cacheField>
  </cacheFields>
  <extLst>
    <ext xmlns:x14="http://schemas.microsoft.com/office/spreadsheetml/2009/9/main" uri="{725AE2AE-9491-48be-B2B4-4EB974FC3084}">
      <x14:pivotCacheDefinition pivotCacheId="7082121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A0001"/>
    <s v="Katherine Lewis"/>
    <s v="michaelcole@gmail.com"/>
    <x v="0"/>
    <x v="0"/>
    <s v="Workshop B"/>
    <x v="0"/>
    <n v="240"/>
    <s v="Vegetarian"/>
  </r>
  <r>
    <s v="A0002"/>
    <s v="Joshua Stephens"/>
    <s v="erin02@robinson-moody.biz"/>
    <x v="1"/>
    <x v="1"/>
    <s v="Workshop D"/>
    <x v="1"/>
    <n v="280"/>
    <s v="Gluten-Free"/>
  </r>
  <r>
    <s v="A0003"/>
    <s v="Gabrielle Jennings"/>
    <s v="william93@yahoo.com"/>
    <x v="2"/>
    <x v="2"/>
    <s v="Workshop A"/>
    <x v="0"/>
    <n v="200"/>
    <s v="Gluten-Free"/>
  </r>
  <r>
    <s v="A0004"/>
    <s v="Tina Carrillo"/>
    <s v="marygarcia@gutierrez-tyler.com"/>
    <x v="3"/>
    <x v="1"/>
    <s v="Workshop B"/>
    <x v="0"/>
    <n v="240"/>
    <s v="Gluten-Free"/>
  </r>
  <r>
    <s v="A0005"/>
    <s v="Bryan Hamilton"/>
    <s v="antonio90@yahoo.com"/>
    <x v="4"/>
    <x v="0"/>
    <s v="Workshop C"/>
    <x v="0"/>
    <n v="270"/>
    <s v="Vegan"/>
  </r>
  <r>
    <s v="A0006"/>
    <s v="Tina Williams"/>
    <s v="bmoore@gmail.com"/>
    <x v="5"/>
    <x v="2"/>
    <s v="Workshop D"/>
    <x v="1"/>
    <n v="280"/>
    <s v="Gluten-Free"/>
  </r>
  <r>
    <s v="A0007"/>
    <s v="Rebecca Tate"/>
    <s v="millerfrank@gmail.com"/>
    <x v="6"/>
    <x v="2"/>
    <s v="Workshop D"/>
    <x v="0"/>
    <n v="280"/>
    <s v="Vegetarian"/>
  </r>
  <r>
    <s v="A0008"/>
    <s v="Curtis Ortiz"/>
    <s v="justinlopez@yahoo.com"/>
    <x v="7"/>
    <x v="2"/>
    <s v="Workshop C"/>
    <x v="1"/>
    <n v="270"/>
    <s v="Non-Vegetarian"/>
  </r>
  <r>
    <s v="A0009"/>
    <s v="Christopher Burns"/>
    <s v="brianna75@hotmail.com"/>
    <x v="8"/>
    <x v="0"/>
    <s v="Workshop D"/>
    <x v="1"/>
    <n v="280"/>
    <s v="Vegetarian"/>
  </r>
  <r>
    <s v="A0010"/>
    <s v="Bethany Turner"/>
    <s v="johnbullock@hotmail.com"/>
    <x v="9"/>
    <x v="1"/>
    <s v="Workshop B"/>
    <x v="1"/>
    <n v="240"/>
    <s v="Non-Vegetarian"/>
  </r>
  <r>
    <s v="A0011"/>
    <s v="Kimberly Anderson"/>
    <s v="jenniferclark@yahoo.com"/>
    <x v="10"/>
    <x v="2"/>
    <s v="Workshop D"/>
    <x v="0"/>
    <n v="280"/>
    <s v="Vegan"/>
  </r>
  <r>
    <s v="A0012"/>
    <s v="Timothy Butler"/>
    <s v="ujennings@day.biz"/>
    <x v="11"/>
    <x v="2"/>
    <s v="Workshop C"/>
    <x v="0"/>
    <n v="270"/>
    <s v="Vegetarian"/>
  </r>
  <r>
    <s v="A0013"/>
    <s v="Gloria Ryan"/>
    <s v="michelemyers@hall-coleman.com"/>
    <x v="12"/>
    <x v="0"/>
    <s v="Workshop D"/>
    <x v="0"/>
    <n v="280"/>
    <s v="Non-Vegetarian"/>
  </r>
  <r>
    <s v="A0014"/>
    <s v="Darin Hampton"/>
    <s v="bthornton@tran.com"/>
    <x v="5"/>
    <x v="2"/>
    <s v="Workshop B"/>
    <x v="0"/>
    <n v="240"/>
    <s v="Gluten-Free"/>
  </r>
  <r>
    <s v="A0015"/>
    <s v="Neil Lester"/>
    <s v="miguelkim@harrington.com"/>
    <x v="13"/>
    <x v="0"/>
    <s v="Workshop D"/>
    <x v="0"/>
    <n v="280"/>
    <s v="Gluten-Free"/>
  </r>
  <r>
    <s v="A0016"/>
    <s v="Barbara Dominguez"/>
    <s v="volson@jones-watts.com"/>
    <x v="14"/>
    <x v="1"/>
    <s v="Workshop B"/>
    <x v="0"/>
    <n v="240"/>
    <s v="Gluten-Free"/>
  </r>
  <r>
    <s v="A0017"/>
    <s v="David Williams"/>
    <s v="hollymeadows@davis-allison.net"/>
    <x v="15"/>
    <x v="0"/>
    <s v="Workshop A"/>
    <x v="1"/>
    <n v="200"/>
    <s v="Non-Vegetarian"/>
  </r>
  <r>
    <s v="A0018"/>
    <s v="Nancy Lee"/>
    <s v="stephen94@hotmail.com"/>
    <x v="16"/>
    <x v="1"/>
    <s v="Workshop B"/>
    <x v="1"/>
    <n v="240"/>
    <s v="Vegetarian"/>
  </r>
  <r>
    <s v="A0019"/>
    <s v="Oscar Fowler"/>
    <s v="uhayden@yahoo.com"/>
    <x v="17"/>
    <x v="1"/>
    <s v="Workshop A"/>
    <x v="0"/>
    <n v="200"/>
    <s v="Vegan"/>
  </r>
  <r>
    <s v="A0020"/>
    <s v="Amy Miller"/>
    <s v="susan21@yahoo.com"/>
    <x v="18"/>
    <x v="1"/>
    <s v="Workshop B"/>
    <x v="0"/>
    <n v="240"/>
    <s v="Vegetarian"/>
  </r>
  <r>
    <s v="A0021"/>
    <s v="Lydia Mcdonald"/>
    <s v="peggyfriedman@yahoo.com"/>
    <x v="19"/>
    <x v="1"/>
    <s v="Workshop A"/>
    <x v="1"/>
    <n v="200"/>
    <s v="Non-Vegetarian"/>
  </r>
  <r>
    <s v="A0022"/>
    <s v="Emily Mcdonald"/>
    <s v="iwebb@mullins.com"/>
    <x v="20"/>
    <x v="1"/>
    <s v="Workshop A"/>
    <x v="1"/>
    <n v="200"/>
    <s v="Vegan"/>
  </r>
  <r>
    <s v="A0023"/>
    <s v="Carolyn Graves"/>
    <s v="brookenavarro@hotmail.com"/>
    <x v="21"/>
    <x v="1"/>
    <s v="Workshop A"/>
    <x v="1"/>
    <n v="200"/>
    <s v="Vegan"/>
  </r>
  <r>
    <s v="A0024"/>
    <s v="Linda White"/>
    <s v="nancy35@yahoo.com"/>
    <x v="22"/>
    <x v="1"/>
    <s v="Workshop B"/>
    <x v="0"/>
    <n v="240"/>
    <s v="Gluten-Free"/>
  </r>
  <r>
    <s v="A0025"/>
    <s v="Andrew Becker"/>
    <s v="jeffreyshepherd@yahoo.com"/>
    <x v="9"/>
    <x v="1"/>
    <s v="Workshop B"/>
    <x v="1"/>
    <n v="240"/>
    <s v="Vegan"/>
  </r>
  <r>
    <s v="A0026"/>
    <s v="Regina Zimmerman"/>
    <s v="martindarrell@todd.com"/>
    <x v="23"/>
    <x v="1"/>
    <s v="Workshop C"/>
    <x v="1"/>
    <n v="270"/>
    <s v="Vegetarian"/>
  </r>
  <r>
    <s v="A0027"/>
    <s v="Meagan Wheeler"/>
    <s v="rsmith@schmidt.com"/>
    <x v="24"/>
    <x v="2"/>
    <s v="Workshop A"/>
    <x v="0"/>
    <n v="200"/>
    <s v="Vegetarian"/>
  </r>
  <r>
    <s v="A0028"/>
    <s v="Lisa Green"/>
    <s v="anthony55@gmail.com"/>
    <x v="25"/>
    <x v="1"/>
    <s v="Workshop D"/>
    <x v="1"/>
    <n v="280"/>
    <s v="Vegetarian"/>
  </r>
  <r>
    <s v="A0029"/>
    <s v="Tammy Brown"/>
    <s v="brittany10@williams-smith.com"/>
    <x v="26"/>
    <x v="2"/>
    <s v="Workshop A"/>
    <x v="0"/>
    <n v="200"/>
    <s v="Vegetarian"/>
  </r>
  <r>
    <s v="A0030"/>
    <s v="Debbie Bryant MD"/>
    <s v="kjohnson@yahoo.com"/>
    <x v="27"/>
    <x v="2"/>
    <s v="Workshop D"/>
    <x v="1"/>
    <n v="280"/>
    <s v="Gluten-Free"/>
  </r>
  <r>
    <s v="A0031"/>
    <s v="Felicia Parker"/>
    <s v="jeffreyrivera@watkins.com"/>
    <x v="28"/>
    <x v="0"/>
    <s v="Workshop B"/>
    <x v="0"/>
    <n v="240"/>
    <s v="Vegan"/>
  </r>
  <r>
    <s v="A0032"/>
    <s v="Raven Cruz"/>
    <s v="trevor71@gmail.com"/>
    <x v="29"/>
    <x v="2"/>
    <s v="Workshop A"/>
    <x v="1"/>
    <n v="200"/>
    <s v="Non-Vegetarian"/>
  </r>
  <r>
    <s v="A0033"/>
    <s v="Bethany Evans"/>
    <s v="simsjoseph@yahoo.com"/>
    <x v="30"/>
    <x v="2"/>
    <s v="Workshop C"/>
    <x v="0"/>
    <n v="270"/>
    <s v="Vegetarian"/>
  </r>
  <r>
    <s v="A0034"/>
    <s v="Jeremy Hogan"/>
    <s v="njohnson@gray.net"/>
    <x v="31"/>
    <x v="1"/>
    <s v="Workshop A"/>
    <x v="0"/>
    <n v="200"/>
    <s v="Non-Vegetarian"/>
  </r>
  <r>
    <s v="A0035"/>
    <s v="Joan Foster"/>
    <s v="abrown@gmail.com"/>
    <x v="32"/>
    <x v="2"/>
    <s v="Workshop D"/>
    <x v="0"/>
    <n v="280"/>
    <s v="Gluten-Free"/>
  </r>
  <r>
    <s v="A0036"/>
    <s v="Isaac Deleon"/>
    <s v="michelleperry@day.com"/>
    <x v="33"/>
    <x v="0"/>
    <s v="Workshop A"/>
    <x v="1"/>
    <n v="200"/>
    <s v="Vegan"/>
  </r>
  <r>
    <s v="A0037"/>
    <s v="Nathan Gonzales"/>
    <s v="isaiahbuckley@yahoo.com"/>
    <x v="34"/>
    <x v="2"/>
    <s v="Workshop D"/>
    <x v="0"/>
    <n v="280"/>
    <s v="Non-Vegetarian"/>
  </r>
  <r>
    <s v="A0038"/>
    <s v="Dawn Ruiz"/>
    <s v="ballcourtney@yahoo.com"/>
    <x v="35"/>
    <x v="1"/>
    <s v="Workshop B"/>
    <x v="1"/>
    <n v="240"/>
    <s v="Vegetarian"/>
  </r>
  <r>
    <s v="A0039"/>
    <s v="Sharon George"/>
    <s v="kristina80@nichols.com"/>
    <x v="36"/>
    <x v="0"/>
    <s v="Workshop C"/>
    <x v="0"/>
    <n v="270"/>
    <s v="Non-Vegetarian"/>
  </r>
  <r>
    <s v="A0040"/>
    <s v="Sarah Pratt"/>
    <s v="srichards@gmail.com"/>
    <x v="37"/>
    <x v="1"/>
    <s v="Workshop B"/>
    <x v="1"/>
    <n v="240"/>
    <s v="Vegetarian"/>
  </r>
  <r>
    <s v="A0041"/>
    <s v="Carlos Patrick"/>
    <s v="devin54@carpenter.net"/>
    <x v="38"/>
    <x v="0"/>
    <s v="Workshop A"/>
    <x v="0"/>
    <n v="200"/>
    <s v="Vegetarian"/>
  </r>
  <r>
    <s v="A0042"/>
    <s v="Kevin Morrison"/>
    <s v="daviseric@gmail.com"/>
    <x v="39"/>
    <x v="2"/>
    <s v="Workshop B"/>
    <x v="1"/>
    <n v="240"/>
    <s v="Vegetarian"/>
  </r>
  <r>
    <s v="A0043"/>
    <s v="Amber Vargas"/>
    <s v="mkeller@miller-evans.com"/>
    <x v="40"/>
    <x v="1"/>
    <s v="Workshop A"/>
    <x v="1"/>
    <n v="200"/>
    <s v="Non-Vegetarian"/>
  </r>
  <r>
    <s v="A0044"/>
    <s v="Matthew Ayala"/>
    <s v="carla47@boyer.com"/>
    <x v="41"/>
    <x v="2"/>
    <s v="Workshop B"/>
    <x v="0"/>
    <n v="240"/>
    <s v="Non-Vegetarian"/>
  </r>
  <r>
    <s v="A0045"/>
    <s v="Dylan Bowen"/>
    <s v="crystal98@smith.net"/>
    <x v="42"/>
    <x v="2"/>
    <s v="Workshop A"/>
    <x v="1"/>
    <n v="200"/>
    <s v="Gluten-Free"/>
  </r>
  <r>
    <s v="A0046"/>
    <s v="Scott Moore"/>
    <s v="paul42@gardner.biz"/>
    <x v="43"/>
    <x v="0"/>
    <s v="Workshop A"/>
    <x v="0"/>
    <n v="200"/>
    <s v="Vegetarian"/>
  </r>
  <r>
    <s v="A0047"/>
    <s v="Richard Sawyer"/>
    <s v="stevenanderson@gmail.com"/>
    <x v="44"/>
    <x v="1"/>
    <s v="Workshop A"/>
    <x v="0"/>
    <n v="200"/>
    <s v="Vegan"/>
  </r>
  <r>
    <s v="A0048"/>
    <s v="Nicole Norris"/>
    <s v="nmorris@yahoo.com"/>
    <x v="45"/>
    <x v="2"/>
    <s v="Workshop A"/>
    <x v="1"/>
    <n v="200"/>
    <s v="Vegan"/>
  </r>
  <r>
    <s v="A0049"/>
    <s v="Patrick Farley"/>
    <s v="moyerduane@page.net"/>
    <x v="46"/>
    <x v="0"/>
    <s v="Workshop D"/>
    <x v="1"/>
    <n v="280"/>
    <s v="Vegetarian"/>
  </r>
  <r>
    <s v="A0050"/>
    <s v="Jacob Martinez"/>
    <s v="lindamckenzie@yahoo.com"/>
    <x v="43"/>
    <x v="2"/>
    <s v="Workshop A"/>
    <x v="1"/>
    <n v="200"/>
    <s v="Vegan"/>
  </r>
  <r>
    <s v="A0051"/>
    <s v="Julie Santiago"/>
    <s v="jennifer57@wright.info"/>
    <x v="47"/>
    <x v="0"/>
    <s v="Workshop C"/>
    <x v="1"/>
    <n v="270"/>
    <s v="Vegetarian"/>
  </r>
  <r>
    <s v="A0052"/>
    <s v="Rebecca Chapman"/>
    <s v="sydneyhall@yahoo.com"/>
    <x v="48"/>
    <x v="2"/>
    <s v="Workshop B"/>
    <x v="1"/>
    <n v="240"/>
    <s v="Gluten-Free"/>
  </r>
  <r>
    <s v="A0053"/>
    <s v="Sarah Day"/>
    <s v="antonio31@suarez.com"/>
    <x v="49"/>
    <x v="0"/>
    <s v="Workshop A"/>
    <x v="1"/>
    <n v="200"/>
    <s v="Non-Vegetarian"/>
  </r>
  <r>
    <s v="A0054"/>
    <s v="Laura Mueller"/>
    <s v="webbmegan@murray.com"/>
    <x v="50"/>
    <x v="2"/>
    <s v="Workshop D"/>
    <x v="0"/>
    <n v="280"/>
    <s v="Vegetarian"/>
  </r>
  <r>
    <s v="A0055"/>
    <s v="Bradley Rodgers"/>
    <s v="jdunlap@gmail.com"/>
    <x v="51"/>
    <x v="1"/>
    <s v="Workshop C"/>
    <x v="1"/>
    <n v="270"/>
    <s v="Non-Vegetarian"/>
  </r>
  <r>
    <s v="A0056"/>
    <s v="Tracy Frazier"/>
    <s v="michael45@yahoo.com"/>
    <x v="52"/>
    <x v="1"/>
    <s v="Workshop C"/>
    <x v="1"/>
    <n v="270"/>
    <s v="Vegan"/>
  </r>
  <r>
    <s v="A0057"/>
    <s v="Michaela Mendoza"/>
    <s v="klinecarlos@gmail.com"/>
    <x v="53"/>
    <x v="1"/>
    <s v="Workshop B"/>
    <x v="1"/>
    <n v="240"/>
    <s v="Gluten-Free"/>
  </r>
  <r>
    <s v="A0058"/>
    <s v="Kim Williams"/>
    <s v="bradleymelissa@hotmail.com"/>
    <x v="54"/>
    <x v="1"/>
    <s v="Workshop B"/>
    <x v="1"/>
    <n v="240"/>
    <s v="Vegan"/>
  </r>
  <r>
    <s v="A0059"/>
    <s v="Dustin Bird"/>
    <s v="cantuscott@wilson.com"/>
    <x v="55"/>
    <x v="2"/>
    <s v="Workshop B"/>
    <x v="0"/>
    <n v="240"/>
    <s v="Non-Vegetarian"/>
  </r>
  <r>
    <s v="A0060"/>
    <s v="Jennifer Bell"/>
    <s v="eatonlauren@yahoo.com"/>
    <x v="56"/>
    <x v="0"/>
    <s v="Workshop B"/>
    <x v="1"/>
    <n v="240"/>
    <s v="Non-Vegetarian"/>
  </r>
  <r>
    <s v="A0061"/>
    <s v="Kayla Burns"/>
    <s v="anthony24@schmidt.biz"/>
    <x v="57"/>
    <x v="0"/>
    <s v="Workshop D"/>
    <x v="0"/>
    <n v="280"/>
    <s v="Vegetarian"/>
  </r>
  <r>
    <s v="A0062"/>
    <s v="Natasha Schmidt"/>
    <s v="mariopotts@burke.com"/>
    <x v="58"/>
    <x v="0"/>
    <s v="Workshop B"/>
    <x v="1"/>
    <n v="240"/>
    <s v="Gluten-Free"/>
  </r>
  <r>
    <s v="A0063"/>
    <s v="Kimberly Forbes"/>
    <s v="blakeandrews@yahoo.com"/>
    <x v="59"/>
    <x v="0"/>
    <s v="Workshop A"/>
    <x v="0"/>
    <n v="200"/>
    <s v="Non-Vegetarian"/>
  </r>
  <r>
    <s v="A0064"/>
    <s v="Frank Stephens"/>
    <s v="amymalone@mayer-roberson.com"/>
    <x v="60"/>
    <x v="2"/>
    <s v="Workshop A"/>
    <x v="1"/>
    <n v="200"/>
    <s v="Non-Vegetarian"/>
  </r>
  <r>
    <s v="A0065"/>
    <s v="James Heath"/>
    <s v="morganstacy@chavez.info"/>
    <x v="61"/>
    <x v="1"/>
    <s v="Workshop B"/>
    <x v="0"/>
    <n v="240"/>
    <s v="Non-Vegetarian"/>
  </r>
  <r>
    <s v="A0066"/>
    <s v="Cody Parker"/>
    <s v="xdeleon@reynolds-smith.com"/>
    <x v="62"/>
    <x v="2"/>
    <s v="Workshop D"/>
    <x v="0"/>
    <n v="280"/>
    <s v="Vegan"/>
  </r>
  <r>
    <s v="A0067"/>
    <s v="Bradley Griffin"/>
    <s v="john38@evans-johnson.com"/>
    <x v="63"/>
    <x v="0"/>
    <s v="Workshop B"/>
    <x v="0"/>
    <n v="240"/>
    <s v="Vegetarian"/>
  </r>
  <r>
    <s v="A0068"/>
    <s v="James Hood"/>
    <s v="mary24@espinoza.com"/>
    <x v="47"/>
    <x v="1"/>
    <s v="Workshop C"/>
    <x v="1"/>
    <n v="270"/>
    <s v="Non-Vegetarian"/>
  </r>
  <r>
    <s v="A0069"/>
    <s v="Shannon Bradford"/>
    <s v="ewhite@gmail.com"/>
    <x v="64"/>
    <x v="1"/>
    <s v="Workshop C"/>
    <x v="1"/>
    <n v="270"/>
    <s v="Gluten-Free"/>
  </r>
  <r>
    <s v="A0070"/>
    <s v="Kimberly Saunders"/>
    <s v="mpetty@wood.org"/>
    <x v="65"/>
    <x v="2"/>
    <s v="Workshop B"/>
    <x v="1"/>
    <n v="240"/>
    <s v="Vegan"/>
  </r>
  <r>
    <s v="A0071"/>
    <s v="Michelle Chavez"/>
    <s v="natalieclayton@contreras-reilly.org"/>
    <x v="66"/>
    <x v="2"/>
    <s v="Workshop D"/>
    <x v="1"/>
    <n v="280"/>
    <s v="Vegan"/>
  </r>
  <r>
    <s v="A0072"/>
    <s v="Laurie Scott"/>
    <s v="ashley48@roberts-osborne.com"/>
    <x v="67"/>
    <x v="1"/>
    <s v="Workshop B"/>
    <x v="1"/>
    <n v="240"/>
    <s v="Gluten-Free"/>
  </r>
  <r>
    <s v="A0073"/>
    <s v="Patrick Cox"/>
    <s v="grant63@gmail.com"/>
    <x v="68"/>
    <x v="0"/>
    <s v="Workshop D"/>
    <x v="1"/>
    <n v="280"/>
    <s v="Non-Vegetarian"/>
  </r>
  <r>
    <s v="A0074"/>
    <s v="Courtney Conner"/>
    <s v="matthewsjessica@stevens-baker.org"/>
    <x v="69"/>
    <x v="2"/>
    <s v="Workshop A"/>
    <x v="0"/>
    <n v="200"/>
    <s v="Gluten-Free"/>
  </r>
  <r>
    <s v="A0075"/>
    <s v="Robert Roberts"/>
    <s v="milleralex@johnson.biz"/>
    <x v="70"/>
    <x v="0"/>
    <s v="Workshop A"/>
    <x v="1"/>
    <n v="200"/>
    <s v="Vegetarian"/>
  </r>
  <r>
    <s v="A0076"/>
    <s v="Heather Rivera"/>
    <s v="stacy40@gmail.com"/>
    <x v="71"/>
    <x v="2"/>
    <s v="Workshop B"/>
    <x v="0"/>
    <n v="240"/>
    <s v="Vegan"/>
  </r>
  <r>
    <s v="A0077"/>
    <s v="Nicholas Moran"/>
    <s v="morgan12@yahoo.com"/>
    <x v="72"/>
    <x v="0"/>
    <s v="Workshop D"/>
    <x v="0"/>
    <n v="280"/>
    <s v="Gluten-Free"/>
  </r>
  <r>
    <s v="A0078"/>
    <s v="Timothy Cook"/>
    <s v="livingstonrichard@yahoo.com"/>
    <x v="73"/>
    <x v="2"/>
    <s v="Workshop B"/>
    <x v="1"/>
    <n v="240"/>
    <s v="Vegan"/>
  </r>
  <r>
    <s v="A0079"/>
    <s v="Robert Parks"/>
    <s v="sreynolds@anderson.com"/>
    <x v="74"/>
    <x v="0"/>
    <s v="Workshop C"/>
    <x v="0"/>
    <n v="270"/>
    <s v="Non-Vegetarian"/>
  </r>
  <r>
    <s v="A0080"/>
    <s v="Edward Barker"/>
    <s v="courtney57@gmail.com"/>
    <x v="75"/>
    <x v="2"/>
    <s v="Workshop B"/>
    <x v="1"/>
    <n v="240"/>
    <s v="Non-Vegetarian"/>
  </r>
  <r>
    <s v="A0081"/>
    <s v="William Pierce"/>
    <s v="hoffmancraig@mckenzie.com"/>
    <x v="76"/>
    <x v="2"/>
    <s v="Workshop C"/>
    <x v="1"/>
    <n v="270"/>
    <s v="Vegetarian"/>
  </r>
  <r>
    <s v="A0082"/>
    <s v="Judith Miller"/>
    <s v="zacharyroy@gmail.com"/>
    <x v="77"/>
    <x v="2"/>
    <s v="Workshop B"/>
    <x v="1"/>
    <n v="240"/>
    <s v="Vegetarian"/>
  </r>
  <r>
    <s v="A0083"/>
    <s v="Alan Liu"/>
    <s v="wrangel@hotmail.com"/>
    <x v="78"/>
    <x v="1"/>
    <s v="Workshop C"/>
    <x v="1"/>
    <n v="270"/>
    <s v="Vegetarian"/>
  </r>
  <r>
    <s v="A0084"/>
    <s v="James Villarreal"/>
    <s v="henry03@obrien.net"/>
    <x v="79"/>
    <x v="1"/>
    <s v="Workshop C"/>
    <x v="0"/>
    <n v="270"/>
    <s v="Non-Vegetarian"/>
  </r>
  <r>
    <s v="A0085"/>
    <s v="Christopher Boyer"/>
    <s v="michaelunderwood@gmail.com"/>
    <x v="80"/>
    <x v="0"/>
    <s v="Workshop C"/>
    <x v="1"/>
    <n v="270"/>
    <s v="Vegan"/>
  </r>
  <r>
    <s v="A0086"/>
    <s v="Colin Kramer"/>
    <s v="shawnoconnor@hotmail.com"/>
    <x v="81"/>
    <x v="1"/>
    <s v="Workshop A"/>
    <x v="0"/>
    <n v="200"/>
    <s v="Non-Vegetarian"/>
  </r>
  <r>
    <s v="A0087"/>
    <s v="Jacob Benton"/>
    <s v="nathan01@costa-thomas.info"/>
    <x v="82"/>
    <x v="1"/>
    <s v="Workshop B"/>
    <x v="1"/>
    <n v="240"/>
    <s v="Non-Vegetarian"/>
  </r>
  <r>
    <s v="A0088"/>
    <s v="Elizabeth Orozco"/>
    <s v="pamelagonzalez@rodriguez.com"/>
    <x v="83"/>
    <x v="2"/>
    <s v="Workshop A"/>
    <x v="1"/>
    <n v="200"/>
    <s v="Gluten-Free"/>
  </r>
  <r>
    <s v="A0089"/>
    <s v="Christopher Potts"/>
    <s v="cynthia21@foley.com"/>
    <x v="84"/>
    <x v="2"/>
    <s v="Workshop B"/>
    <x v="1"/>
    <n v="240"/>
    <s v="Vegetarian"/>
  </r>
  <r>
    <s v="A0090"/>
    <s v="Rodney Jones"/>
    <s v="vaughncaleb@yahoo.com"/>
    <x v="85"/>
    <x v="1"/>
    <s v="Workshop A"/>
    <x v="0"/>
    <n v="200"/>
    <s v="Vegetarian"/>
  </r>
  <r>
    <s v="A0091"/>
    <s v="Carlos Ray"/>
    <s v="matthewhayes@gibson-tucker.org"/>
    <x v="86"/>
    <x v="1"/>
    <s v="Workshop A"/>
    <x v="1"/>
    <n v="200"/>
    <s v="Non-Vegetarian"/>
  </r>
  <r>
    <s v="A0092"/>
    <s v="Veronica Wall"/>
    <s v="riggsjeffrey@jackson.com"/>
    <x v="87"/>
    <x v="0"/>
    <s v="Workshop B"/>
    <x v="1"/>
    <n v="240"/>
    <s v="Vegan"/>
  </r>
  <r>
    <s v="A0093"/>
    <s v="Susan Johnson"/>
    <s v="larryewing@hotmail.com"/>
    <x v="88"/>
    <x v="0"/>
    <s v="Workshop D"/>
    <x v="1"/>
    <n v="280"/>
    <s v="Vegan"/>
  </r>
  <r>
    <s v="A0094"/>
    <s v="Sarah Lewis"/>
    <s v="williamramos@wood.com"/>
    <x v="66"/>
    <x v="1"/>
    <s v="Workshop A"/>
    <x v="1"/>
    <n v="200"/>
    <s v="Gluten-Free"/>
  </r>
  <r>
    <s v="A0095"/>
    <s v="Mark Patterson"/>
    <s v="davenportrobert@johnson.biz"/>
    <x v="89"/>
    <x v="1"/>
    <s v="Workshop D"/>
    <x v="0"/>
    <n v="280"/>
    <s v="Non-Vegetarian"/>
  </r>
  <r>
    <s v="A0096"/>
    <s v="Stephanie Davis"/>
    <s v="james41@jackson.com"/>
    <x v="90"/>
    <x v="2"/>
    <s v="Workshop A"/>
    <x v="1"/>
    <n v="200"/>
    <s v="Non-Vegetarian"/>
  </r>
  <r>
    <s v="A0097"/>
    <s v="Julia Brown"/>
    <s v="gonzalesjames@gmail.com"/>
    <x v="91"/>
    <x v="0"/>
    <s v="Workshop B"/>
    <x v="0"/>
    <n v="240"/>
    <s v="Gluten-Free"/>
  </r>
  <r>
    <s v="A0098"/>
    <s v="James Kane"/>
    <s v="deanmolly@hall.com"/>
    <x v="92"/>
    <x v="0"/>
    <s v="Workshop D"/>
    <x v="1"/>
    <n v="280"/>
    <s v="Vegetarian"/>
  </r>
  <r>
    <s v="A0099"/>
    <s v="Melissa Parker"/>
    <s v="nicoleflores@davis-hernandez.com"/>
    <x v="93"/>
    <x v="2"/>
    <s v="Workshop A"/>
    <x v="1"/>
    <n v="200"/>
    <s v="Vegetarian"/>
  </r>
  <r>
    <s v="A0100"/>
    <s v="Emily Williams"/>
    <s v="hpotts@yahoo.com"/>
    <x v="94"/>
    <x v="1"/>
    <s v="Workshop A"/>
    <x v="1"/>
    <n v="200"/>
    <s v="Vegetaria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317B2B1-8E82-4128-928A-16982B63E2B1}"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Monthly summary">
  <location ref="A1:C32" firstHeaderRow="0" firstDataRow="1" firstDataCol="1"/>
  <pivotFields count="12">
    <pivotField dataField="1" showAll="0"/>
    <pivotField showAll="0"/>
    <pivotField showAll="0"/>
    <pivotField numFmtId="14" showAll="0">
      <items count="96">
        <item x="77"/>
        <item x="69"/>
        <item x="63"/>
        <item x="75"/>
        <item x="20"/>
        <item x="41"/>
        <item x="85"/>
        <item x="40"/>
        <item x="45"/>
        <item x="57"/>
        <item x="10"/>
        <item x="76"/>
        <item x="55"/>
        <item x="53"/>
        <item x="4"/>
        <item x="0"/>
        <item x="71"/>
        <item x="54"/>
        <item x="82"/>
        <item x="18"/>
        <item x="22"/>
        <item x="64"/>
        <item x="67"/>
        <item x="34"/>
        <item x="74"/>
        <item x="7"/>
        <item x="91"/>
        <item x="56"/>
        <item x="3"/>
        <item x="19"/>
        <item x="62"/>
        <item x="90"/>
        <item x="49"/>
        <item x="5"/>
        <item x="83"/>
        <item x="92"/>
        <item x="14"/>
        <item x="17"/>
        <item x="26"/>
        <item x="87"/>
        <item x="25"/>
        <item x="86"/>
        <item x="30"/>
        <item x="61"/>
        <item x="13"/>
        <item x="29"/>
        <item x="35"/>
        <item x="9"/>
        <item x="65"/>
        <item x="43"/>
        <item x="6"/>
        <item x="11"/>
        <item x="93"/>
        <item x="42"/>
        <item x="21"/>
        <item x="68"/>
        <item x="2"/>
        <item x="66"/>
        <item x="47"/>
        <item x="31"/>
        <item x="23"/>
        <item x="48"/>
        <item x="59"/>
        <item x="73"/>
        <item x="24"/>
        <item x="16"/>
        <item x="94"/>
        <item x="58"/>
        <item x="37"/>
        <item x="79"/>
        <item x="70"/>
        <item x="12"/>
        <item x="8"/>
        <item x="84"/>
        <item x="15"/>
        <item x="32"/>
        <item x="33"/>
        <item x="50"/>
        <item x="46"/>
        <item x="60"/>
        <item x="78"/>
        <item x="27"/>
        <item x="28"/>
        <item x="52"/>
        <item x="39"/>
        <item x="89"/>
        <item x="38"/>
        <item x="88"/>
        <item x="81"/>
        <item x="80"/>
        <item x="36"/>
        <item x="44"/>
        <item x="51"/>
        <item x="72"/>
        <item x="1"/>
        <item t="default"/>
      </items>
    </pivotField>
    <pivotField showAll="0"/>
    <pivotField showAll="0"/>
    <pivotField showAll="0"/>
    <pivotField dataField="1" numFmtId="166" showAll="0"/>
    <pivotField showAll="0"/>
    <pivotField axis="axisRow" showAll="0" defaultSubtotal="0">
      <items count="14">
        <item x="0"/>
        <item x="1"/>
        <item x="2"/>
        <item x="3"/>
        <item x="4"/>
        <item x="5"/>
        <item x="6"/>
        <item x="7"/>
        <item x="8"/>
        <item x="9"/>
        <item x="10"/>
        <item x="11"/>
        <item x="12"/>
        <item x="13"/>
      </items>
    </pivotField>
    <pivotField showAll="0" defaultSubtotal="0"/>
    <pivotField axis="axisRow" showAll="0">
      <items count="7">
        <item x="0"/>
        <item x="1"/>
        <item x="2"/>
        <item x="3"/>
        <item x="4"/>
        <item x="5"/>
        <item t="default"/>
      </items>
    </pivotField>
  </pivotFields>
  <rowFields count="2">
    <field x="11"/>
    <field x="9"/>
  </rowFields>
  <rowItems count="31">
    <i>
      <x v="1"/>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x v="4"/>
    </i>
    <i r="1">
      <x v="1"/>
    </i>
    <i t="grand">
      <x/>
    </i>
  </rowItems>
  <colFields count="1">
    <field x="-2"/>
  </colFields>
  <colItems count="2">
    <i>
      <x/>
    </i>
    <i i="1">
      <x v="1"/>
    </i>
  </colItems>
  <dataFields count="2">
    <dataField name="Ticket sales" fld="7" baseField="0" baseItem="0" numFmtId="166"/>
    <dataField name="Registration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48DFC69-5852-46DF-AC75-8659046FBC82}" name="Attendee"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rowHeaderCaption="Attendee trend overtime">
  <location ref="D1:E32" firstHeaderRow="1" firstDataRow="1" firstDataCol="1"/>
  <pivotFields count="12">
    <pivotField dataField="1" showAll="0"/>
    <pivotField showAll="0"/>
    <pivotField showAll="0"/>
    <pivotField numFmtId="14" showAll="0">
      <items count="96">
        <item x="77"/>
        <item x="69"/>
        <item x="63"/>
        <item x="75"/>
        <item x="20"/>
        <item x="41"/>
        <item x="85"/>
        <item x="40"/>
        <item x="45"/>
        <item x="57"/>
        <item x="10"/>
        <item x="76"/>
        <item x="55"/>
        <item x="53"/>
        <item x="4"/>
        <item x="0"/>
        <item x="71"/>
        <item x="54"/>
        <item x="82"/>
        <item x="18"/>
        <item x="22"/>
        <item x="64"/>
        <item x="67"/>
        <item x="34"/>
        <item x="74"/>
        <item x="7"/>
        <item x="91"/>
        <item x="56"/>
        <item x="3"/>
        <item x="19"/>
        <item x="62"/>
        <item x="90"/>
        <item x="49"/>
        <item x="5"/>
        <item x="83"/>
        <item x="92"/>
        <item x="14"/>
        <item x="17"/>
        <item x="26"/>
        <item x="87"/>
        <item x="25"/>
        <item x="86"/>
        <item x="30"/>
        <item x="61"/>
        <item x="13"/>
        <item x="29"/>
        <item x="35"/>
        <item x="9"/>
        <item x="65"/>
        <item x="43"/>
        <item x="6"/>
        <item x="11"/>
        <item x="93"/>
        <item x="42"/>
        <item x="21"/>
        <item x="68"/>
        <item x="2"/>
        <item x="66"/>
        <item x="47"/>
        <item x="31"/>
        <item x="23"/>
        <item x="48"/>
        <item x="59"/>
        <item x="73"/>
        <item x="24"/>
        <item x="16"/>
        <item x="94"/>
        <item x="58"/>
        <item x="37"/>
        <item x="79"/>
        <item x="70"/>
        <item x="12"/>
        <item x="8"/>
        <item x="84"/>
        <item x="15"/>
        <item x="32"/>
        <item x="33"/>
        <item x="50"/>
        <item x="46"/>
        <item x="60"/>
        <item x="78"/>
        <item x="27"/>
        <item x="28"/>
        <item x="52"/>
        <item x="39"/>
        <item x="89"/>
        <item x="38"/>
        <item x="88"/>
        <item x="81"/>
        <item x="80"/>
        <item x="36"/>
        <item x="44"/>
        <item x="51"/>
        <item x="72"/>
        <item x="1"/>
        <item t="default"/>
      </items>
    </pivotField>
    <pivotField showAll="0">
      <items count="4">
        <item x="2"/>
        <item x="1"/>
        <item x="0"/>
        <item t="default"/>
      </items>
    </pivotField>
    <pivotField showAll="0"/>
    <pivotField showAll="0">
      <items count="3">
        <item x="1"/>
        <item x="0"/>
        <item t="default"/>
      </items>
    </pivotField>
    <pivotField numFmtId="166"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7">
        <item x="0"/>
        <item x="1"/>
        <item x="2"/>
        <item x="3"/>
        <item x="4"/>
        <item x="5"/>
        <item t="default"/>
      </items>
    </pivotField>
  </pivotFields>
  <rowFields count="2">
    <field x="11"/>
    <field x="9"/>
  </rowFields>
  <rowItems count="31">
    <i>
      <x v="1"/>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x v="4"/>
    </i>
    <i r="1">
      <x v="1"/>
    </i>
    <i t="grand">
      <x/>
    </i>
  </rowItems>
  <colItems count="1">
    <i/>
  </colItems>
  <dataFields count="1">
    <dataField name="Count of Attendee ID" fld="0" subtotal="count"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B46D1F6-3046-48B5-A2F9-AAEF73C48C5B}" name="Revenues"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5" rowHeaderCaption="Revenues per Session type">
  <location ref="A1:B5" firstHeaderRow="1" firstDataRow="1" firstDataCol="1"/>
  <pivotFields count="12">
    <pivotField showAll="0"/>
    <pivotField showAll="0"/>
    <pivotField showAll="0"/>
    <pivotField numFmtId="14" showAll="0">
      <items count="96">
        <item x="77"/>
        <item x="69"/>
        <item x="63"/>
        <item x="75"/>
        <item x="20"/>
        <item x="41"/>
        <item x="85"/>
        <item x="40"/>
        <item x="45"/>
        <item x="57"/>
        <item x="10"/>
        <item x="76"/>
        <item x="55"/>
        <item x="53"/>
        <item x="4"/>
        <item x="0"/>
        <item x="71"/>
        <item x="54"/>
        <item x="82"/>
        <item x="18"/>
        <item x="22"/>
        <item x="64"/>
        <item x="67"/>
        <item x="34"/>
        <item x="74"/>
        <item x="7"/>
        <item x="91"/>
        <item x="56"/>
        <item x="3"/>
        <item x="19"/>
        <item x="62"/>
        <item x="90"/>
        <item x="49"/>
        <item x="5"/>
        <item x="83"/>
        <item x="92"/>
        <item x="14"/>
        <item x="17"/>
        <item x="26"/>
        <item x="87"/>
        <item x="25"/>
        <item x="86"/>
        <item x="30"/>
        <item x="61"/>
        <item x="13"/>
        <item x="29"/>
        <item x="35"/>
        <item x="9"/>
        <item x="65"/>
        <item x="43"/>
        <item x="6"/>
        <item x="11"/>
        <item x="93"/>
        <item x="42"/>
        <item x="21"/>
        <item x="68"/>
        <item x="2"/>
        <item x="66"/>
        <item x="47"/>
        <item x="31"/>
        <item x="23"/>
        <item x="48"/>
        <item x="59"/>
        <item x="73"/>
        <item x="24"/>
        <item x="16"/>
        <item x="94"/>
        <item x="58"/>
        <item x="37"/>
        <item x="79"/>
        <item x="70"/>
        <item x="12"/>
        <item x="8"/>
        <item x="84"/>
        <item x="15"/>
        <item x="32"/>
        <item x="33"/>
        <item x="50"/>
        <item x="46"/>
        <item x="60"/>
        <item x="78"/>
        <item x="27"/>
        <item x="28"/>
        <item x="52"/>
        <item x="39"/>
        <item x="89"/>
        <item x="38"/>
        <item x="88"/>
        <item x="81"/>
        <item x="80"/>
        <item x="36"/>
        <item x="44"/>
        <item x="51"/>
        <item x="72"/>
        <item x="1"/>
        <item t="default"/>
      </items>
    </pivotField>
    <pivotField axis="axisRow" showAll="0">
      <items count="4">
        <item x="2"/>
        <item x="1"/>
        <item x="0"/>
        <item t="default"/>
      </items>
    </pivotField>
    <pivotField showAll="0"/>
    <pivotField showAll="0">
      <items count="3">
        <item x="1"/>
        <item x="0"/>
        <item t="default"/>
      </items>
    </pivotField>
    <pivotField dataField="1" numFmtId="166"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4"/>
  </rowFields>
  <rowItems count="4">
    <i>
      <x/>
    </i>
    <i>
      <x v="1"/>
    </i>
    <i>
      <x v="2"/>
    </i>
    <i t="grand">
      <x/>
    </i>
  </rowItems>
  <colItems count="1">
    <i/>
  </colItems>
  <dataFields count="1">
    <dataField name="Revenues" fld="7" baseField="0" baseItem="0" numFmtId="166"/>
  </dataFields>
  <chartFormats count="1">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C6667E-3365-421D-AD38-6AA203229E5B}" name="Attendance"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G3:H6" firstHeaderRow="1" firstDataRow="1" firstDataCol="1"/>
  <pivotFields count="12">
    <pivotField dataField="1" showAll="0"/>
    <pivotField showAll="0"/>
    <pivotField showAll="0"/>
    <pivotField numFmtId="14" showAll="0">
      <items count="96">
        <item x="77"/>
        <item x="69"/>
        <item x="63"/>
        <item x="75"/>
        <item x="20"/>
        <item x="41"/>
        <item x="85"/>
        <item x="40"/>
        <item x="45"/>
        <item x="57"/>
        <item x="10"/>
        <item x="76"/>
        <item x="55"/>
        <item x="53"/>
        <item x="4"/>
        <item x="0"/>
        <item x="71"/>
        <item x="54"/>
        <item x="82"/>
        <item x="18"/>
        <item x="22"/>
        <item x="64"/>
        <item x="67"/>
        <item x="34"/>
        <item x="74"/>
        <item x="7"/>
        <item x="91"/>
        <item x="56"/>
        <item x="3"/>
        <item x="19"/>
        <item x="62"/>
        <item x="90"/>
        <item x="49"/>
        <item x="5"/>
        <item x="83"/>
        <item x="92"/>
        <item x="14"/>
        <item x="17"/>
        <item x="26"/>
        <item x="87"/>
        <item x="25"/>
        <item x="86"/>
        <item x="30"/>
        <item x="61"/>
        <item x="13"/>
        <item x="29"/>
        <item x="35"/>
        <item x="9"/>
        <item x="65"/>
        <item x="43"/>
        <item x="6"/>
        <item x="11"/>
        <item x="93"/>
        <item x="42"/>
        <item x="21"/>
        <item x="68"/>
        <item x="2"/>
        <item x="66"/>
        <item x="47"/>
        <item x="31"/>
        <item x="23"/>
        <item x="48"/>
        <item x="59"/>
        <item x="73"/>
        <item x="24"/>
        <item x="16"/>
        <item x="94"/>
        <item x="58"/>
        <item x="37"/>
        <item x="79"/>
        <item x="70"/>
        <item x="12"/>
        <item x="8"/>
        <item x="84"/>
        <item x="15"/>
        <item x="32"/>
        <item x="33"/>
        <item x="50"/>
        <item x="46"/>
        <item x="60"/>
        <item x="78"/>
        <item x="27"/>
        <item x="28"/>
        <item x="52"/>
        <item x="39"/>
        <item x="89"/>
        <item x="38"/>
        <item x="88"/>
        <item x="81"/>
        <item x="80"/>
        <item x="36"/>
        <item x="44"/>
        <item x="51"/>
        <item x="72"/>
        <item x="1"/>
        <item t="default"/>
      </items>
    </pivotField>
    <pivotField showAll="0">
      <items count="4">
        <item x="2"/>
        <item x="1"/>
        <item x="0"/>
        <item t="default"/>
      </items>
    </pivotField>
    <pivotField showAll="0"/>
    <pivotField axis="axisRow" showAll="0">
      <items count="3">
        <item x="1"/>
        <item x="0"/>
        <item t="default"/>
      </items>
    </pivotField>
    <pivotField numFmtId="166" showAll="0"/>
    <pivotField showAll="0"/>
    <pivotField showAll="0" defaultSubtotal="0"/>
    <pivotField showAll="0" defaultSubtotal="0"/>
    <pivotField showAll="0" defaultSubtotal="0">
      <items count="6">
        <item x="0"/>
        <item x="1"/>
        <item x="2"/>
        <item x="3"/>
        <item x="4"/>
        <item x="5"/>
      </items>
    </pivotField>
  </pivotFields>
  <rowFields count="1">
    <field x="6"/>
  </rowFields>
  <rowItems count="3">
    <i>
      <x/>
    </i>
    <i>
      <x v="1"/>
    </i>
    <i t="grand">
      <x/>
    </i>
  </rowItems>
  <colItems count="1">
    <i/>
  </colItems>
  <dataFields count="1">
    <dataField name="Count of Attendee ID" fld="0" subtotal="count" showDataAs="percentOfTotal" baseField="6" baseItem="0" numFmtId="10"/>
  </dataFields>
  <chartFormats count="3">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6" count="1" selected="0">
            <x v="0"/>
          </reference>
        </references>
      </pivotArea>
    </chartFormat>
    <chartFormat chart="3" format="6">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ssion_Preference" xr10:uid="{6B88E4CF-3A28-4B62-8A4A-A6F9D51C3C1B}" sourceName="Session Preference">
  <pivotTables>
    <pivotTable tabId="15" name="Revenues"/>
    <pivotTable tabId="15" name="Attendance"/>
    <pivotTable tabId="15" name="Attendee"/>
  </pivotTables>
  <data>
    <tabular pivotCacheId="70821210">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ttendance_Preference" xr10:uid="{E12ACEB3-6475-44FA-8930-E2530E88C81C}" sourceName="Attendance Preference">
  <pivotTables>
    <pivotTable tabId="15" name="Revenues"/>
    <pivotTable tabId="15" name="Attendance"/>
    <pivotTable tabId="15" name="Attendee"/>
  </pivotTables>
  <data>
    <tabular pivotCacheId="70821210">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ssion Preference" xr10:uid="{9855C33E-83FB-4F24-8E1D-78A705C9ABED}" cache="Slicer_Session_Preference" caption="Session Preference" rowHeight="234950"/>
  <slicer name="Attendance Preference" xr10:uid="{5839308B-D340-4A6D-B4EE-85255405E0F4}" cache="Slicer_Attendance_Preference" caption="Attendance Preferenc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29CAE5F-FD64-49B0-BE26-627AF50A8F49}" name="tblEventData" displayName="tblEventData" ref="A1:I101" totalsRowShown="0" headerRowDxfId="22" dataDxfId="21">
  <autoFilter ref="A1:I101" xr:uid="{629CAE5F-FD64-49B0-BE26-627AF50A8F49}"/>
  <tableColumns count="9">
    <tableColumn id="1" xr3:uid="{4F4E81A3-E90F-4AA1-885E-10998D7361CE}" name="Attendee ID" dataDxfId="20"/>
    <tableColumn id="2" xr3:uid="{A48E598B-B5AA-4297-9552-EFB2277F8711}" name="Name" dataDxfId="19"/>
    <tableColumn id="3" xr3:uid="{9C1BB7FF-4AD0-48C7-8A0A-53F5CA0FF529}" name="Email" dataDxfId="18"/>
    <tableColumn id="4" xr3:uid="{9CB485C7-C5D2-4896-B29F-2EC49EA1E76E}" name="Registration Date" dataDxfId="17"/>
    <tableColumn id="5" xr3:uid="{DA5F87FC-4B76-48B2-B2D5-B2C604467017}" name="Session Preference" dataDxfId="16"/>
    <tableColumn id="9" xr3:uid="{71836A62-6405-4E67-B69C-AFAF3AA6E9A0}" name="Workshops" dataDxfId="15"/>
    <tableColumn id="6" xr3:uid="{FE55830C-737F-4C0B-AE11-CABDE545C9DF}" name="Attendance Preference" dataDxfId="14"/>
    <tableColumn id="8" xr3:uid="{384E7D46-201E-4D07-A969-4F362D84F723}" name="Ticket Price Preference" dataDxfId="13"/>
    <tableColumn id="7" xr3:uid="{A6A23B90-BF76-449D-98A0-E039407D7FC5}" name="Dietary Preference"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D7ED24-C087-4720-A3D3-EA19917BBC29}" name="Table22" displayName="Table22" ref="A1:C40" totalsRowShown="0" headerRowDxfId="11">
  <autoFilter ref="A1:C40" xr:uid="{26BCBBDB-2809-458D-8180-F70B6E8D53AC}"/>
  <tableColumns count="3">
    <tableColumn id="1" xr3:uid="{FF459209-9BD3-4837-959F-6F0FDD6E476A}" name="Registration Timeline" dataDxfId="10"/>
    <tableColumn id="2" xr3:uid="{9FD45D15-97FC-4998-BE54-CDB5DD84B33E}" name="Numer of Registrations"/>
    <tableColumn id="3" xr3:uid="{C12039E2-A621-4B4C-9A92-106D46BE92CF}" name="Forecast (Number of Registrations)" dataDxfId="9">
      <calculatedColumnFormula>_xlfn.FORECAST.ETS(A2,$B$2:$B$28,$A$2:$A$28,1,1)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CD5E7A4-E00E-414A-8F76-B2FD7F3C0F60}" name="tblWorkshopPreferences" displayName="tblWorkshopPreferences" ref="A1:D13" totalsRowShown="0" headerRowDxfId="8" dataDxfId="7">
  <autoFilter ref="A1:D13" xr:uid="{DCD5E7A4-E00E-414A-8F76-B2FD7F3C0F60}"/>
  <tableColumns count="4">
    <tableColumn id="4" xr3:uid="{86DC30D7-00B2-4739-BA50-85D8680EC63D}" name="KeySessionWorkshop" dataDxfId="6">
      <calculatedColumnFormula>tblWorkshopPreferences[[#This Row],[Session]]&amp;tblWorkshopPreferences[[#This Row],[Workshop]]</calculatedColumnFormula>
    </tableColumn>
    <tableColumn id="2" xr3:uid="{AA2D2802-A578-4397-A702-3BECA47B2068}" name="Session" dataDxfId="5"/>
    <tableColumn id="1" xr3:uid="{341E9820-54AD-4CF5-961A-AD6E1D38039D}" name="Workshop" dataDxfId="4"/>
    <tableColumn id="3" xr3:uid="{83968491-F7B3-4602-9C54-715334CE7142}" name="TicketPrice" dataDxfId="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3D4E7C-B433-4578-9A8D-6F53F38BEAFB}" name="tblDietaryPreferences" displayName="tblDietaryPreferences" ref="A1:A5" totalsRowShown="0" headerRowDxfId="2" dataDxfId="1">
  <autoFilter ref="A1:A5" xr:uid="{8A3D4E7C-B433-4578-9A8D-6F53F38BEAFB}"/>
  <tableColumns count="1">
    <tableColumn id="1" xr3:uid="{20B40B1F-474F-40E8-A10E-FB9719596428}" name="Dietary Items" dataDxfId="0"/>
  </tableColumns>
  <tableStyleInfo name="TableStyleMedium2" showFirstColumn="0" showLastColumn="0" showRowStripes="1" showColumnStripes="0"/>
</table>
</file>

<file path=xl/theme/theme1.xml><?xml version="1.0" encoding="utf-8"?>
<a:theme xmlns:a="http://schemas.openxmlformats.org/drawingml/2006/main" name="Тема Office 2013–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Registration_Date" xr10:uid="{0420EE15-AF76-4BF6-85B8-0ACBB1EDBECF}" sourceName="Registration Date">
  <pivotTables>
    <pivotTable tabId="15" name="Attendee"/>
    <pivotTable tabId="15" name="Revenues"/>
    <pivotTable tabId="15" name="Attendance"/>
  </pivotTables>
  <state minimalRefreshVersion="6" lastRefreshVersion="6" pivotCacheId="70821210" filterType="unknown">
    <bounds startDate="2022-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Registration Date" xr10:uid="{F095FA00-2457-4A81-887F-E05CA5E25E0E}" cache="NativeTimeline_Registration_Date" caption="Registration Date" level="2" selectionLevel="2" scrollPosition="2024-01-01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image" Target="../media/image2.emf"/></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tint="-0.34998626667073579"/>
  </sheetPr>
  <dimension ref="A1:I101"/>
  <sheetViews>
    <sheetView workbookViewId="0"/>
  </sheetViews>
  <sheetFormatPr defaultColWidth="17" defaultRowHeight="14.4"/>
  <cols>
    <col min="1" max="1" width="15.44140625" bestFit="1" customWidth="1"/>
    <col min="3" max="3" width="31.33203125" bestFit="1" customWidth="1"/>
    <col min="4" max="4" width="12.33203125" style="12" customWidth="1"/>
    <col min="5" max="5" width="15.5546875" customWidth="1"/>
    <col min="6" max="6" width="14.88671875" customWidth="1"/>
    <col min="7" max="7" width="15.6640625" customWidth="1"/>
    <col min="8" max="8" width="13.77734375" style="13" customWidth="1"/>
    <col min="9" max="9" width="14.44140625" customWidth="1"/>
  </cols>
  <sheetData>
    <row r="1" spans="1:9" s="67" customFormat="1" ht="28.8">
      <c r="A1" s="63" t="s">
        <v>321</v>
      </c>
      <c r="B1" s="63" t="s">
        <v>0</v>
      </c>
      <c r="C1" s="63" t="s">
        <v>1</v>
      </c>
      <c r="D1" s="64" t="s">
        <v>5</v>
      </c>
      <c r="E1" s="63" t="s">
        <v>2</v>
      </c>
      <c r="F1" s="65" t="s">
        <v>3</v>
      </c>
      <c r="G1" s="63" t="s">
        <v>322</v>
      </c>
      <c r="H1" s="66" t="s">
        <v>323</v>
      </c>
      <c r="I1" s="63" t="s">
        <v>4</v>
      </c>
    </row>
    <row r="2" spans="1:9">
      <c r="A2" s="6" t="s">
        <v>6</v>
      </c>
      <c r="B2" s="6" t="s">
        <v>7</v>
      </c>
      <c r="C2" s="6" t="s">
        <v>8</v>
      </c>
      <c r="D2" s="11">
        <v>44998</v>
      </c>
      <c r="E2" s="6" t="s">
        <v>9</v>
      </c>
      <c r="F2" s="7" t="s">
        <v>30</v>
      </c>
      <c r="G2" s="6" t="s">
        <v>22</v>
      </c>
      <c r="H2" s="5">
        <v>240</v>
      </c>
      <c r="I2" s="5" t="s">
        <v>11</v>
      </c>
    </row>
    <row r="3" spans="1:9">
      <c r="A3" s="6" t="s">
        <v>12</v>
      </c>
      <c r="B3" s="6" t="s">
        <v>13</v>
      </c>
      <c r="C3" s="6" t="s">
        <v>14</v>
      </c>
      <c r="D3" s="11">
        <v>45668</v>
      </c>
      <c r="E3" s="6" t="s">
        <v>15</v>
      </c>
      <c r="F3" s="7" t="s">
        <v>357</v>
      </c>
      <c r="G3" s="17" t="s">
        <v>10</v>
      </c>
      <c r="H3" s="5">
        <v>280</v>
      </c>
      <c r="I3" s="6" t="s">
        <v>17</v>
      </c>
    </row>
    <row r="4" spans="1:9">
      <c r="A4" s="6" t="s">
        <v>18</v>
      </c>
      <c r="B4" s="6" t="s">
        <v>19</v>
      </c>
      <c r="C4" s="6" t="s">
        <v>20</v>
      </c>
      <c r="D4" s="11">
        <v>45349</v>
      </c>
      <c r="E4" s="6" t="s">
        <v>21</v>
      </c>
      <c r="F4" s="7" t="s">
        <v>26</v>
      </c>
      <c r="G4" s="6" t="s">
        <v>22</v>
      </c>
      <c r="H4" s="5">
        <v>200</v>
      </c>
      <c r="I4" s="6" t="s">
        <v>17</v>
      </c>
    </row>
    <row r="5" spans="1:9">
      <c r="A5" s="6" t="s">
        <v>23</v>
      </c>
      <c r="B5" s="6" t="s">
        <v>24</v>
      </c>
      <c r="C5" s="6" t="s">
        <v>25</v>
      </c>
      <c r="D5" s="11">
        <v>45114</v>
      </c>
      <c r="E5" s="6" t="s">
        <v>15</v>
      </c>
      <c r="F5" s="7" t="s">
        <v>30</v>
      </c>
      <c r="G5" s="6" t="s">
        <v>22</v>
      </c>
      <c r="H5" s="5">
        <v>240</v>
      </c>
      <c r="I5" s="6" t="s">
        <v>17</v>
      </c>
    </row>
    <row r="6" spans="1:9">
      <c r="A6" s="6" t="s">
        <v>27</v>
      </c>
      <c r="B6" s="6" t="s">
        <v>28</v>
      </c>
      <c r="C6" s="6" t="s">
        <v>29</v>
      </c>
      <c r="D6" s="11">
        <v>44982</v>
      </c>
      <c r="E6" s="6" t="s">
        <v>9</v>
      </c>
      <c r="F6" s="7" t="s">
        <v>16</v>
      </c>
      <c r="G6" s="6" t="s">
        <v>22</v>
      </c>
      <c r="H6" s="5">
        <v>270</v>
      </c>
      <c r="I6" s="6" t="s">
        <v>31</v>
      </c>
    </row>
    <row r="7" spans="1:9">
      <c r="A7" s="6" t="s">
        <v>32</v>
      </c>
      <c r="B7" s="6" t="s">
        <v>33</v>
      </c>
      <c r="C7" s="6" t="s">
        <v>34</v>
      </c>
      <c r="D7" s="11">
        <v>45155</v>
      </c>
      <c r="E7" s="6" t="s">
        <v>21</v>
      </c>
      <c r="F7" s="7" t="s">
        <v>357</v>
      </c>
      <c r="G7" s="6" t="s">
        <v>10</v>
      </c>
      <c r="H7" s="5">
        <v>280</v>
      </c>
      <c r="I7" s="6" t="s">
        <v>17</v>
      </c>
    </row>
    <row r="8" spans="1:9">
      <c r="A8" s="6" t="s">
        <v>35</v>
      </c>
      <c r="B8" s="6" t="s">
        <v>36</v>
      </c>
      <c r="C8" s="6" t="s">
        <v>37</v>
      </c>
      <c r="D8" s="11">
        <v>45330</v>
      </c>
      <c r="E8" s="6" t="s">
        <v>21</v>
      </c>
      <c r="F8" s="7" t="s">
        <v>357</v>
      </c>
      <c r="G8" s="6" t="s">
        <v>22</v>
      </c>
      <c r="H8" s="5">
        <v>280</v>
      </c>
      <c r="I8" s="6" t="s">
        <v>11</v>
      </c>
    </row>
    <row r="9" spans="1:9">
      <c r="A9" s="6" t="s">
        <v>38</v>
      </c>
      <c r="B9" s="6" t="s">
        <v>39</v>
      </c>
      <c r="C9" s="6" t="s">
        <v>40</v>
      </c>
      <c r="D9" s="11">
        <v>45094</v>
      </c>
      <c r="E9" s="6" t="s">
        <v>21</v>
      </c>
      <c r="F9" s="7" t="s">
        <v>16</v>
      </c>
      <c r="G9" s="6" t="s">
        <v>10</v>
      </c>
      <c r="H9" s="5">
        <v>270</v>
      </c>
      <c r="I9" s="6" t="s">
        <v>41</v>
      </c>
    </row>
    <row r="10" spans="1:9">
      <c r="A10" s="6" t="s">
        <v>42</v>
      </c>
      <c r="B10" s="6" t="s">
        <v>43</v>
      </c>
      <c r="C10" s="6" t="s">
        <v>44</v>
      </c>
      <c r="D10" s="11">
        <v>45470</v>
      </c>
      <c r="E10" s="6" t="s">
        <v>9</v>
      </c>
      <c r="F10" s="7" t="s">
        <v>357</v>
      </c>
      <c r="G10" s="6" t="s">
        <v>10</v>
      </c>
      <c r="H10" s="5">
        <v>280</v>
      </c>
      <c r="I10" s="6" t="s">
        <v>11</v>
      </c>
    </row>
    <row r="11" spans="1:9">
      <c r="A11" s="6" t="s">
        <v>45</v>
      </c>
      <c r="B11" s="6" t="s">
        <v>46</v>
      </c>
      <c r="C11" s="6" t="s">
        <v>47</v>
      </c>
      <c r="D11" s="11">
        <v>45313</v>
      </c>
      <c r="E11" s="6" t="s">
        <v>15</v>
      </c>
      <c r="F11" s="7" t="s">
        <v>30</v>
      </c>
      <c r="G11" s="6" t="s">
        <v>10</v>
      </c>
      <c r="H11" s="5">
        <v>240</v>
      </c>
      <c r="I11" s="6" t="s">
        <v>41</v>
      </c>
    </row>
    <row r="12" spans="1:9">
      <c r="A12" s="6" t="s">
        <v>48</v>
      </c>
      <c r="B12" s="6" t="s">
        <v>49</v>
      </c>
      <c r="C12" s="6" t="s">
        <v>50</v>
      </c>
      <c r="D12" s="11">
        <v>44975</v>
      </c>
      <c r="E12" s="6" t="s">
        <v>21</v>
      </c>
      <c r="F12" s="7" t="s">
        <v>357</v>
      </c>
      <c r="G12" s="6" t="s">
        <v>22</v>
      </c>
      <c r="H12" s="5">
        <v>280</v>
      </c>
      <c r="I12" s="6" t="s">
        <v>31</v>
      </c>
    </row>
    <row r="13" spans="1:9">
      <c r="A13" s="6" t="s">
        <v>51</v>
      </c>
      <c r="B13" s="6" t="s">
        <v>52</v>
      </c>
      <c r="C13" s="6" t="s">
        <v>53</v>
      </c>
      <c r="D13" s="11">
        <v>45331</v>
      </c>
      <c r="E13" s="6" t="s">
        <v>21</v>
      </c>
      <c r="F13" s="7" t="s">
        <v>16</v>
      </c>
      <c r="G13" s="6" t="s">
        <v>22</v>
      </c>
      <c r="H13" s="5">
        <v>270</v>
      </c>
      <c r="I13" s="6" t="s">
        <v>11</v>
      </c>
    </row>
    <row r="14" spans="1:9">
      <c r="A14" s="6" t="s">
        <v>54</v>
      </c>
      <c r="B14" s="6" t="s">
        <v>55</v>
      </c>
      <c r="C14" s="6" t="s">
        <v>56</v>
      </c>
      <c r="D14" s="11">
        <v>45466</v>
      </c>
      <c r="E14" s="6" t="s">
        <v>9</v>
      </c>
      <c r="F14" s="7" t="s">
        <v>357</v>
      </c>
      <c r="G14" s="6" t="s">
        <v>22</v>
      </c>
      <c r="H14" s="5">
        <v>280</v>
      </c>
      <c r="I14" s="6" t="s">
        <v>41</v>
      </c>
    </row>
    <row r="15" spans="1:9">
      <c r="A15" s="6" t="s">
        <v>57</v>
      </c>
      <c r="B15" s="6" t="s">
        <v>58</v>
      </c>
      <c r="C15" s="6" t="s">
        <v>59</v>
      </c>
      <c r="D15" s="11">
        <v>45155</v>
      </c>
      <c r="E15" s="6" t="s">
        <v>21</v>
      </c>
      <c r="F15" s="7" t="s">
        <v>30</v>
      </c>
      <c r="G15" s="6" t="s">
        <v>22</v>
      </c>
      <c r="H15" s="5">
        <v>240</v>
      </c>
      <c r="I15" s="6" t="s">
        <v>17</v>
      </c>
    </row>
    <row r="16" spans="1:9">
      <c r="A16" s="6" t="s">
        <v>60</v>
      </c>
      <c r="B16" s="6" t="s">
        <v>61</v>
      </c>
      <c r="C16" s="6" t="s">
        <v>62</v>
      </c>
      <c r="D16" s="11">
        <v>45269</v>
      </c>
      <c r="E16" s="6" t="s">
        <v>9</v>
      </c>
      <c r="F16" s="7" t="s">
        <v>357</v>
      </c>
      <c r="G16" s="6" t="s">
        <v>22</v>
      </c>
      <c r="H16" s="5">
        <v>280</v>
      </c>
      <c r="I16" s="6" t="s">
        <v>17</v>
      </c>
    </row>
    <row r="17" spans="1:9">
      <c r="A17" s="6" t="s">
        <v>63</v>
      </c>
      <c r="B17" s="6" t="s">
        <v>64</v>
      </c>
      <c r="C17" s="6" t="s">
        <v>65</v>
      </c>
      <c r="D17" s="11">
        <v>45199</v>
      </c>
      <c r="E17" s="6" t="s">
        <v>15</v>
      </c>
      <c r="F17" s="7" t="s">
        <v>30</v>
      </c>
      <c r="G17" s="6" t="s">
        <v>22</v>
      </c>
      <c r="H17" s="5">
        <v>240</v>
      </c>
      <c r="I17" s="6" t="s">
        <v>17</v>
      </c>
    </row>
    <row r="18" spans="1:9">
      <c r="A18" s="6" t="s">
        <v>66</v>
      </c>
      <c r="B18" s="6" t="s">
        <v>67</v>
      </c>
      <c r="C18" s="6" t="s">
        <v>68</v>
      </c>
      <c r="D18" s="11">
        <v>45474</v>
      </c>
      <c r="E18" s="6" t="s">
        <v>9</v>
      </c>
      <c r="F18" s="7" t="s">
        <v>26</v>
      </c>
      <c r="G18" s="6" t="s">
        <v>10</v>
      </c>
      <c r="H18" s="5">
        <v>200</v>
      </c>
      <c r="I18" s="6" t="s">
        <v>41</v>
      </c>
    </row>
    <row r="19" spans="1:9">
      <c r="A19" s="6" t="s">
        <v>69</v>
      </c>
      <c r="B19" s="6" t="s">
        <v>70</v>
      </c>
      <c r="C19" s="6" t="s">
        <v>71</v>
      </c>
      <c r="D19" s="11">
        <v>45416</v>
      </c>
      <c r="E19" s="6" t="s">
        <v>15</v>
      </c>
      <c r="F19" s="7" t="s">
        <v>30</v>
      </c>
      <c r="G19" s="6" t="s">
        <v>10</v>
      </c>
      <c r="H19" s="5">
        <v>240</v>
      </c>
      <c r="I19" s="6" t="s">
        <v>11</v>
      </c>
    </row>
    <row r="20" spans="1:9">
      <c r="A20" s="6" t="s">
        <v>72</v>
      </c>
      <c r="B20" s="6" t="s">
        <v>73</v>
      </c>
      <c r="C20" s="6" t="s">
        <v>74</v>
      </c>
      <c r="D20" s="11">
        <v>45213</v>
      </c>
      <c r="E20" s="6" t="s">
        <v>15</v>
      </c>
      <c r="F20" s="7" t="s">
        <v>26</v>
      </c>
      <c r="G20" s="6" t="s">
        <v>22</v>
      </c>
      <c r="H20" s="5">
        <v>200</v>
      </c>
      <c r="I20" s="6" t="s">
        <v>31</v>
      </c>
    </row>
    <row r="21" spans="1:9">
      <c r="A21" s="6" t="s">
        <v>75</v>
      </c>
      <c r="B21" s="6" t="s">
        <v>76</v>
      </c>
      <c r="C21" s="6" t="s">
        <v>77</v>
      </c>
      <c r="D21" s="11">
        <v>45036</v>
      </c>
      <c r="E21" s="6" t="s">
        <v>15</v>
      </c>
      <c r="F21" s="7" t="s">
        <v>30</v>
      </c>
      <c r="G21" s="6" t="s">
        <v>22</v>
      </c>
      <c r="H21" s="5">
        <v>240</v>
      </c>
      <c r="I21" s="6" t="s">
        <v>11</v>
      </c>
    </row>
    <row r="22" spans="1:9">
      <c r="A22" s="6" t="s">
        <v>78</v>
      </c>
      <c r="B22" s="6" t="s">
        <v>79</v>
      </c>
      <c r="C22" s="6" t="s">
        <v>80</v>
      </c>
      <c r="D22" s="11">
        <v>45131</v>
      </c>
      <c r="E22" s="6" t="s">
        <v>15</v>
      </c>
      <c r="F22" s="7" t="s">
        <v>26</v>
      </c>
      <c r="G22" s="6" t="s">
        <v>10</v>
      </c>
      <c r="H22" s="5">
        <v>200</v>
      </c>
      <c r="I22" s="6" t="s">
        <v>41</v>
      </c>
    </row>
    <row r="23" spans="1:9">
      <c r="A23" s="6" t="s">
        <v>81</v>
      </c>
      <c r="B23" s="6" t="s">
        <v>82</v>
      </c>
      <c r="C23" s="6" t="s">
        <v>83</v>
      </c>
      <c r="D23" s="11">
        <v>44926</v>
      </c>
      <c r="E23" s="6" t="s">
        <v>15</v>
      </c>
      <c r="F23" s="7" t="s">
        <v>26</v>
      </c>
      <c r="G23" s="6" t="s">
        <v>10</v>
      </c>
      <c r="H23" s="5">
        <v>200</v>
      </c>
      <c r="I23" s="6" t="s">
        <v>31</v>
      </c>
    </row>
    <row r="24" spans="1:9">
      <c r="A24" s="6" t="s">
        <v>84</v>
      </c>
      <c r="B24" s="6" t="s">
        <v>85</v>
      </c>
      <c r="C24" s="6" t="s">
        <v>86</v>
      </c>
      <c r="D24" s="11">
        <v>45343</v>
      </c>
      <c r="E24" s="6" t="s">
        <v>15</v>
      </c>
      <c r="F24" s="7" t="s">
        <v>26</v>
      </c>
      <c r="G24" s="6" t="s">
        <v>10</v>
      </c>
      <c r="H24" s="5">
        <v>200</v>
      </c>
      <c r="I24" s="6" t="s">
        <v>31</v>
      </c>
    </row>
    <row r="25" spans="1:9">
      <c r="A25" s="6" t="s">
        <v>87</v>
      </c>
      <c r="B25" s="6" t="s">
        <v>88</v>
      </c>
      <c r="C25" s="6" t="s">
        <v>89</v>
      </c>
      <c r="D25" s="11">
        <v>45040</v>
      </c>
      <c r="E25" s="6" t="s">
        <v>15</v>
      </c>
      <c r="F25" s="7" t="s">
        <v>30</v>
      </c>
      <c r="G25" s="6" t="s">
        <v>22</v>
      </c>
      <c r="H25" s="5">
        <v>240</v>
      </c>
      <c r="I25" s="6" t="s">
        <v>17</v>
      </c>
    </row>
    <row r="26" spans="1:9">
      <c r="A26" s="6" t="s">
        <v>90</v>
      </c>
      <c r="B26" s="6" t="s">
        <v>91</v>
      </c>
      <c r="C26" s="6" t="s">
        <v>92</v>
      </c>
      <c r="D26" s="11">
        <v>45313</v>
      </c>
      <c r="E26" s="6" t="s">
        <v>15</v>
      </c>
      <c r="F26" s="7" t="s">
        <v>30</v>
      </c>
      <c r="G26" s="6" t="s">
        <v>10</v>
      </c>
      <c r="H26" s="5">
        <v>240</v>
      </c>
      <c r="I26" s="6" t="s">
        <v>31</v>
      </c>
    </row>
    <row r="27" spans="1:9">
      <c r="A27" s="6" t="s">
        <v>93</v>
      </c>
      <c r="B27" s="6" t="s">
        <v>94</v>
      </c>
      <c r="C27" s="6" t="s">
        <v>95</v>
      </c>
      <c r="D27" s="11">
        <v>45373</v>
      </c>
      <c r="E27" s="6" t="s">
        <v>15</v>
      </c>
      <c r="F27" s="7" t="s">
        <v>16</v>
      </c>
      <c r="G27" s="6" t="s">
        <v>10</v>
      </c>
      <c r="H27" s="5">
        <v>270</v>
      </c>
      <c r="I27" s="6" t="s">
        <v>11</v>
      </c>
    </row>
    <row r="28" spans="1:9">
      <c r="A28" s="6" t="s">
        <v>96</v>
      </c>
      <c r="B28" s="6" t="s">
        <v>97</v>
      </c>
      <c r="C28" s="6" t="s">
        <v>98</v>
      </c>
      <c r="D28" s="11">
        <v>45410</v>
      </c>
      <c r="E28" s="6" t="s">
        <v>21</v>
      </c>
      <c r="F28" s="7" t="s">
        <v>26</v>
      </c>
      <c r="G28" s="6" t="s">
        <v>22</v>
      </c>
      <c r="H28" s="5">
        <v>200</v>
      </c>
      <c r="I28" s="6" t="s">
        <v>11</v>
      </c>
    </row>
    <row r="29" spans="1:9">
      <c r="A29" s="6" t="s">
        <v>99</v>
      </c>
      <c r="B29" s="6" t="s">
        <v>100</v>
      </c>
      <c r="C29" s="6" t="s">
        <v>101</v>
      </c>
      <c r="D29" s="11">
        <v>45230</v>
      </c>
      <c r="E29" s="6" t="s">
        <v>15</v>
      </c>
      <c r="F29" s="7" t="s">
        <v>357</v>
      </c>
      <c r="G29" s="6" t="s">
        <v>10</v>
      </c>
      <c r="H29" s="5">
        <v>280</v>
      </c>
      <c r="I29" s="6" t="s">
        <v>11</v>
      </c>
    </row>
    <row r="30" spans="1:9">
      <c r="A30" s="6" t="s">
        <v>102</v>
      </c>
      <c r="B30" s="6" t="s">
        <v>103</v>
      </c>
      <c r="C30" s="6" t="s">
        <v>104</v>
      </c>
      <c r="D30" s="11">
        <v>45215</v>
      </c>
      <c r="E30" s="6" t="s">
        <v>21</v>
      </c>
      <c r="F30" s="7" t="s">
        <v>26</v>
      </c>
      <c r="G30" s="6" t="s">
        <v>22</v>
      </c>
      <c r="H30" s="5">
        <v>200</v>
      </c>
      <c r="I30" s="6" t="s">
        <v>11</v>
      </c>
    </row>
    <row r="31" spans="1:9">
      <c r="A31" s="6" t="s">
        <v>105</v>
      </c>
      <c r="B31" s="6" t="s">
        <v>106</v>
      </c>
      <c r="C31" s="6" t="s">
        <v>107</v>
      </c>
      <c r="D31" s="11">
        <v>45530</v>
      </c>
      <c r="E31" s="6" t="s">
        <v>21</v>
      </c>
      <c r="F31" s="7" t="s">
        <v>357</v>
      </c>
      <c r="G31" s="6" t="s">
        <v>10</v>
      </c>
      <c r="H31" s="5">
        <v>280</v>
      </c>
      <c r="I31" s="6" t="s">
        <v>17</v>
      </c>
    </row>
    <row r="32" spans="1:9">
      <c r="A32" s="6" t="s">
        <v>108</v>
      </c>
      <c r="B32" s="6" t="s">
        <v>109</v>
      </c>
      <c r="C32" s="6" t="s">
        <v>110</v>
      </c>
      <c r="D32" s="11">
        <v>45533</v>
      </c>
      <c r="E32" s="6" t="s">
        <v>9</v>
      </c>
      <c r="F32" s="7" t="s">
        <v>30</v>
      </c>
      <c r="G32" s="6" t="s">
        <v>22</v>
      </c>
      <c r="H32" s="5">
        <v>240</v>
      </c>
      <c r="I32" s="6" t="s">
        <v>31</v>
      </c>
    </row>
    <row r="33" spans="1:9">
      <c r="A33" s="6" t="s">
        <v>111</v>
      </c>
      <c r="B33" s="6" t="s">
        <v>112</v>
      </c>
      <c r="C33" s="6" t="s">
        <v>113</v>
      </c>
      <c r="D33" s="11">
        <v>45299</v>
      </c>
      <c r="E33" s="6" t="s">
        <v>21</v>
      </c>
      <c r="F33" s="7" t="s">
        <v>26</v>
      </c>
      <c r="G33" s="6" t="s">
        <v>10</v>
      </c>
      <c r="H33" s="5">
        <v>200</v>
      </c>
      <c r="I33" s="6" t="s">
        <v>41</v>
      </c>
    </row>
    <row r="34" spans="1:9">
      <c r="A34" s="6" t="s">
        <v>114</v>
      </c>
      <c r="B34" s="6" t="s">
        <v>115</v>
      </c>
      <c r="C34" s="6" t="s">
        <v>116</v>
      </c>
      <c r="D34" s="11">
        <v>45260</v>
      </c>
      <c r="E34" s="6" t="s">
        <v>21</v>
      </c>
      <c r="F34" s="7" t="s">
        <v>16</v>
      </c>
      <c r="G34" s="6" t="s">
        <v>22</v>
      </c>
      <c r="H34" s="5">
        <v>270</v>
      </c>
      <c r="I34" s="6" t="s">
        <v>11</v>
      </c>
    </row>
    <row r="35" spans="1:9">
      <c r="A35" s="6" t="s">
        <v>117</v>
      </c>
      <c r="B35" s="6" t="s">
        <v>118</v>
      </c>
      <c r="C35" s="6" t="s">
        <v>119</v>
      </c>
      <c r="D35" s="11">
        <v>45368</v>
      </c>
      <c r="E35" s="6" t="s">
        <v>15</v>
      </c>
      <c r="F35" s="7" t="s">
        <v>26</v>
      </c>
      <c r="G35" s="6" t="s">
        <v>22</v>
      </c>
      <c r="H35" s="5">
        <v>200</v>
      </c>
      <c r="I35" s="6" t="s">
        <v>41</v>
      </c>
    </row>
    <row r="36" spans="1:9">
      <c r="A36" s="6" t="s">
        <v>120</v>
      </c>
      <c r="B36" s="6" t="s">
        <v>121</v>
      </c>
      <c r="C36" s="6" t="s">
        <v>122</v>
      </c>
      <c r="D36" s="11">
        <v>45476</v>
      </c>
      <c r="E36" s="6" t="s">
        <v>21</v>
      </c>
      <c r="F36" s="7" t="s">
        <v>357</v>
      </c>
      <c r="G36" s="6" t="s">
        <v>22</v>
      </c>
      <c r="H36" s="5">
        <v>280</v>
      </c>
      <c r="I36" s="6" t="s">
        <v>17</v>
      </c>
    </row>
    <row r="37" spans="1:9">
      <c r="A37" s="6" t="s">
        <v>123</v>
      </c>
      <c r="B37" s="6" t="s">
        <v>124</v>
      </c>
      <c r="C37" s="6" t="s">
        <v>125</v>
      </c>
      <c r="D37" s="11">
        <v>45484</v>
      </c>
      <c r="E37" s="6" t="s">
        <v>9</v>
      </c>
      <c r="F37" s="7" t="s">
        <v>26</v>
      </c>
      <c r="G37" s="6" t="s">
        <v>10</v>
      </c>
      <c r="H37" s="5">
        <v>200</v>
      </c>
      <c r="I37" s="6" t="s">
        <v>31</v>
      </c>
    </row>
    <row r="38" spans="1:9">
      <c r="A38" s="6" t="s">
        <v>126</v>
      </c>
      <c r="B38" s="6" t="s">
        <v>127</v>
      </c>
      <c r="C38" s="6" t="s">
        <v>128</v>
      </c>
      <c r="D38" s="11">
        <v>45071</v>
      </c>
      <c r="E38" s="6" t="s">
        <v>21</v>
      </c>
      <c r="F38" s="7" t="s">
        <v>357</v>
      </c>
      <c r="G38" s="6" t="s">
        <v>22</v>
      </c>
      <c r="H38" s="5">
        <v>280</v>
      </c>
      <c r="I38" s="6" t="s">
        <v>41</v>
      </c>
    </row>
    <row r="39" spans="1:9">
      <c r="A39" s="6" t="s">
        <v>129</v>
      </c>
      <c r="B39" s="6" t="s">
        <v>130</v>
      </c>
      <c r="C39" s="6" t="s">
        <v>131</v>
      </c>
      <c r="D39" s="11">
        <v>45307</v>
      </c>
      <c r="E39" s="6" t="s">
        <v>15</v>
      </c>
      <c r="F39" s="7" t="s">
        <v>30</v>
      </c>
      <c r="G39" s="6" t="s">
        <v>10</v>
      </c>
      <c r="H39" s="5">
        <v>240</v>
      </c>
      <c r="I39" s="6" t="s">
        <v>11</v>
      </c>
    </row>
    <row r="40" spans="1:9">
      <c r="A40" s="6" t="s">
        <v>132</v>
      </c>
      <c r="B40" s="6" t="s">
        <v>133</v>
      </c>
      <c r="C40" s="6" t="s">
        <v>134</v>
      </c>
      <c r="D40" s="11">
        <v>45590</v>
      </c>
      <c r="E40" s="6" t="s">
        <v>9</v>
      </c>
      <c r="F40" s="7" t="s">
        <v>16</v>
      </c>
      <c r="G40" s="6" t="s">
        <v>22</v>
      </c>
      <c r="H40" s="5">
        <v>270</v>
      </c>
      <c r="I40" s="6" t="s">
        <v>41</v>
      </c>
    </row>
    <row r="41" spans="1:9">
      <c r="A41" s="6" t="s">
        <v>135</v>
      </c>
      <c r="B41" s="6" t="s">
        <v>136</v>
      </c>
      <c r="C41" s="6" t="s">
        <v>137</v>
      </c>
      <c r="D41" s="11">
        <v>45456</v>
      </c>
      <c r="E41" s="6" t="s">
        <v>15</v>
      </c>
      <c r="F41" s="7" t="s">
        <v>30</v>
      </c>
      <c r="G41" s="6" t="s">
        <v>10</v>
      </c>
      <c r="H41" s="5">
        <v>240</v>
      </c>
      <c r="I41" s="6" t="s">
        <v>11</v>
      </c>
    </row>
    <row r="42" spans="1:9">
      <c r="A42" s="6" t="s">
        <v>138</v>
      </c>
      <c r="B42" s="6" t="s">
        <v>139</v>
      </c>
      <c r="C42" s="6" t="s">
        <v>140</v>
      </c>
      <c r="D42" s="11">
        <v>45566</v>
      </c>
      <c r="E42" s="6" t="s">
        <v>9</v>
      </c>
      <c r="F42" s="7" t="s">
        <v>26</v>
      </c>
      <c r="G42" s="6" t="s">
        <v>22</v>
      </c>
      <c r="H42" s="5">
        <v>200</v>
      </c>
      <c r="I42" s="6" t="s">
        <v>11</v>
      </c>
    </row>
    <row r="43" spans="1:9">
      <c r="A43" s="6" t="s">
        <v>141</v>
      </c>
      <c r="B43" s="6" t="s">
        <v>142</v>
      </c>
      <c r="C43" s="6" t="s">
        <v>143</v>
      </c>
      <c r="D43" s="11">
        <v>45560</v>
      </c>
      <c r="E43" s="6" t="s">
        <v>21</v>
      </c>
      <c r="F43" s="7" t="s">
        <v>30</v>
      </c>
      <c r="G43" s="6" t="s">
        <v>10</v>
      </c>
      <c r="H43" s="5">
        <v>240</v>
      </c>
      <c r="I43" s="6" t="s">
        <v>11</v>
      </c>
    </row>
    <row r="44" spans="1:9">
      <c r="A44" s="6" t="s">
        <v>144</v>
      </c>
      <c r="B44" s="6" t="s">
        <v>145</v>
      </c>
      <c r="C44" s="6" t="s">
        <v>146</v>
      </c>
      <c r="D44" s="11">
        <v>44962</v>
      </c>
      <c r="E44" s="6" t="s">
        <v>15</v>
      </c>
      <c r="F44" s="7" t="s">
        <v>26</v>
      </c>
      <c r="G44" s="6" t="s">
        <v>10</v>
      </c>
      <c r="H44" s="5">
        <v>200</v>
      </c>
      <c r="I44" s="6" t="s">
        <v>41</v>
      </c>
    </row>
    <row r="45" spans="1:9">
      <c r="A45" s="6" t="s">
        <v>147</v>
      </c>
      <c r="B45" s="6" t="s">
        <v>148</v>
      </c>
      <c r="C45" s="6" t="s">
        <v>149</v>
      </c>
      <c r="D45" s="11">
        <v>44941</v>
      </c>
      <c r="E45" s="6" t="s">
        <v>21</v>
      </c>
      <c r="F45" s="7" t="s">
        <v>30</v>
      </c>
      <c r="G45" s="6" t="s">
        <v>22</v>
      </c>
      <c r="H45" s="5">
        <v>240</v>
      </c>
      <c r="I45" s="6" t="s">
        <v>41</v>
      </c>
    </row>
    <row r="46" spans="1:9">
      <c r="A46" s="6" t="s">
        <v>150</v>
      </c>
      <c r="B46" s="6" t="s">
        <v>151</v>
      </c>
      <c r="C46" s="6" t="s">
        <v>152</v>
      </c>
      <c r="D46" s="11">
        <v>45338</v>
      </c>
      <c r="E46" s="6" t="s">
        <v>21</v>
      </c>
      <c r="F46" s="7" t="s">
        <v>26</v>
      </c>
      <c r="G46" s="6" t="s">
        <v>10</v>
      </c>
      <c r="H46" s="5">
        <v>200</v>
      </c>
      <c r="I46" s="6" t="s">
        <v>17</v>
      </c>
    </row>
    <row r="47" spans="1:9">
      <c r="A47" s="6" t="s">
        <v>153</v>
      </c>
      <c r="B47" s="6" t="s">
        <v>154</v>
      </c>
      <c r="C47" s="6" t="s">
        <v>155</v>
      </c>
      <c r="D47" s="11">
        <v>45322</v>
      </c>
      <c r="E47" s="6" t="s">
        <v>9</v>
      </c>
      <c r="F47" s="7" t="s">
        <v>26</v>
      </c>
      <c r="G47" s="6" t="s">
        <v>22</v>
      </c>
      <c r="H47" s="5">
        <v>200</v>
      </c>
      <c r="I47" s="6" t="s">
        <v>11</v>
      </c>
    </row>
    <row r="48" spans="1:9">
      <c r="A48" s="6" t="s">
        <v>156</v>
      </c>
      <c r="B48" s="6" t="s">
        <v>157</v>
      </c>
      <c r="C48" s="6" t="s">
        <v>158</v>
      </c>
      <c r="D48" s="11">
        <v>45593</v>
      </c>
      <c r="E48" s="6" t="s">
        <v>15</v>
      </c>
      <c r="F48" s="7" t="s">
        <v>26</v>
      </c>
      <c r="G48" s="6" t="s">
        <v>22</v>
      </c>
      <c r="H48" s="5">
        <v>200</v>
      </c>
      <c r="I48" s="6" t="s">
        <v>31</v>
      </c>
    </row>
    <row r="49" spans="1:9">
      <c r="A49" s="6" t="s">
        <v>159</v>
      </c>
      <c r="B49" s="6" t="s">
        <v>160</v>
      </c>
      <c r="C49" s="6" t="s">
        <v>161</v>
      </c>
      <c r="D49" s="11">
        <v>44966</v>
      </c>
      <c r="E49" s="6" t="s">
        <v>21</v>
      </c>
      <c r="F49" s="7" t="s">
        <v>26</v>
      </c>
      <c r="G49" s="6" t="s">
        <v>10</v>
      </c>
      <c r="H49" s="5">
        <v>200</v>
      </c>
      <c r="I49" s="6" t="s">
        <v>31</v>
      </c>
    </row>
    <row r="50" spans="1:9">
      <c r="A50" s="6" t="s">
        <v>162</v>
      </c>
      <c r="B50" s="6" t="s">
        <v>163</v>
      </c>
      <c r="C50" s="6" t="s">
        <v>164</v>
      </c>
      <c r="D50" s="11">
        <v>45513</v>
      </c>
      <c r="E50" s="6" t="s">
        <v>9</v>
      </c>
      <c r="F50" s="7" t="s">
        <v>357</v>
      </c>
      <c r="G50" s="6" t="s">
        <v>10</v>
      </c>
      <c r="H50" s="5">
        <v>280</v>
      </c>
      <c r="I50" s="6" t="s">
        <v>11</v>
      </c>
    </row>
    <row r="51" spans="1:9">
      <c r="A51" s="6" t="s">
        <v>165</v>
      </c>
      <c r="B51" s="6" t="s">
        <v>166</v>
      </c>
      <c r="C51" s="6" t="s">
        <v>167</v>
      </c>
      <c r="D51" s="11">
        <v>45322</v>
      </c>
      <c r="E51" s="6" t="s">
        <v>21</v>
      </c>
      <c r="F51" s="7" t="s">
        <v>26</v>
      </c>
      <c r="G51" s="6" t="s">
        <v>10</v>
      </c>
      <c r="H51" s="5">
        <v>200</v>
      </c>
      <c r="I51" s="6" t="s">
        <v>31</v>
      </c>
    </row>
    <row r="52" spans="1:9">
      <c r="A52" s="6" t="s">
        <v>168</v>
      </c>
      <c r="B52" s="6" t="s">
        <v>169</v>
      </c>
      <c r="C52" s="6" t="s">
        <v>170</v>
      </c>
      <c r="D52" s="11">
        <v>45353</v>
      </c>
      <c r="E52" s="6" t="s">
        <v>9</v>
      </c>
      <c r="F52" s="7" t="s">
        <v>16</v>
      </c>
      <c r="G52" s="6" t="s">
        <v>10</v>
      </c>
      <c r="H52" s="5">
        <v>270</v>
      </c>
      <c r="I52" s="6" t="s">
        <v>11</v>
      </c>
    </row>
    <row r="53" spans="1:9">
      <c r="A53" s="6" t="s">
        <v>171</v>
      </c>
      <c r="B53" s="6" t="s">
        <v>172</v>
      </c>
      <c r="C53" s="6" t="s">
        <v>173</v>
      </c>
      <c r="D53" s="11">
        <v>45375</v>
      </c>
      <c r="E53" s="6" t="s">
        <v>21</v>
      </c>
      <c r="F53" s="7" t="s">
        <v>30</v>
      </c>
      <c r="G53" s="6" t="s">
        <v>10</v>
      </c>
      <c r="H53" s="5">
        <v>240</v>
      </c>
      <c r="I53" s="6" t="s">
        <v>17</v>
      </c>
    </row>
    <row r="54" spans="1:9">
      <c r="A54" s="6" t="s">
        <v>174</v>
      </c>
      <c r="B54" s="6" t="s">
        <v>175</v>
      </c>
      <c r="C54" s="6" t="s">
        <v>176</v>
      </c>
      <c r="D54" s="11">
        <v>45142</v>
      </c>
      <c r="E54" s="6" t="s">
        <v>9</v>
      </c>
      <c r="F54" s="7" t="s">
        <v>26</v>
      </c>
      <c r="G54" s="6" t="s">
        <v>10</v>
      </c>
      <c r="H54" s="5">
        <v>200</v>
      </c>
      <c r="I54" s="6" t="s">
        <v>41</v>
      </c>
    </row>
    <row r="55" spans="1:9">
      <c r="A55" s="6" t="s">
        <v>177</v>
      </c>
      <c r="B55" s="6" t="s">
        <v>178</v>
      </c>
      <c r="C55" s="6" t="s">
        <v>179</v>
      </c>
      <c r="D55" s="11">
        <v>45506</v>
      </c>
      <c r="E55" s="6" t="s">
        <v>21</v>
      </c>
      <c r="F55" s="7" t="s">
        <v>357</v>
      </c>
      <c r="G55" s="6" t="s">
        <v>22</v>
      </c>
      <c r="H55" s="5">
        <v>280</v>
      </c>
      <c r="I55" s="6" t="s">
        <v>11</v>
      </c>
    </row>
    <row r="56" spans="1:9">
      <c r="A56" s="6" t="s">
        <v>180</v>
      </c>
      <c r="B56" s="6" t="s">
        <v>181</v>
      </c>
      <c r="C56" s="6" t="s">
        <v>182</v>
      </c>
      <c r="D56" s="11">
        <v>45598</v>
      </c>
      <c r="E56" s="6" t="s">
        <v>15</v>
      </c>
      <c r="F56" s="7" t="s">
        <v>16</v>
      </c>
      <c r="G56" s="6" t="s">
        <v>10</v>
      </c>
      <c r="H56" s="5">
        <v>270</v>
      </c>
      <c r="I56" s="6" t="s">
        <v>41</v>
      </c>
    </row>
    <row r="57" spans="1:9">
      <c r="A57" s="6" t="s">
        <v>183</v>
      </c>
      <c r="B57" s="6" t="s">
        <v>184</v>
      </c>
      <c r="C57" s="6" t="s">
        <v>185</v>
      </c>
      <c r="D57" s="11">
        <v>45534</v>
      </c>
      <c r="E57" s="6" t="s">
        <v>15</v>
      </c>
      <c r="F57" s="7" t="s">
        <v>16</v>
      </c>
      <c r="G57" s="6" t="s">
        <v>10</v>
      </c>
      <c r="H57" s="5">
        <v>270</v>
      </c>
      <c r="I57" s="6" t="s">
        <v>31</v>
      </c>
    </row>
    <row r="58" spans="1:9">
      <c r="A58" s="6" t="s">
        <v>186</v>
      </c>
      <c r="B58" s="6" t="s">
        <v>187</v>
      </c>
      <c r="C58" s="6" t="s">
        <v>188</v>
      </c>
      <c r="D58" s="11">
        <v>44979</v>
      </c>
      <c r="E58" s="6" t="s">
        <v>15</v>
      </c>
      <c r="F58" s="7" t="s">
        <v>30</v>
      </c>
      <c r="G58" s="6" t="s">
        <v>10</v>
      </c>
      <c r="H58" s="5">
        <v>240</v>
      </c>
      <c r="I58" s="6" t="s">
        <v>17</v>
      </c>
    </row>
    <row r="59" spans="1:9">
      <c r="A59" s="6" t="s">
        <v>189</v>
      </c>
      <c r="B59" s="6" t="s">
        <v>190</v>
      </c>
      <c r="C59" s="6" t="s">
        <v>191</v>
      </c>
      <c r="D59" s="11">
        <v>45026</v>
      </c>
      <c r="E59" s="6" t="s">
        <v>15</v>
      </c>
      <c r="F59" s="7" t="s">
        <v>30</v>
      </c>
      <c r="G59" s="6" t="s">
        <v>10</v>
      </c>
      <c r="H59" s="5">
        <v>240</v>
      </c>
      <c r="I59" s="6" t="s">
        <v>31</v>
      </c>
    </row>
    <row r="60" spans="1:9">
      <c r="A60" s="6" t="s">
        <v>192</v>
      </c>
      <c r="B60" s="6" t="s">
        <v>193</v>
      </c>
      <c r="C60" s="6" t="s">
        <v>194</v>
      </c>
      <c r="D60" s="11">
        <v>44978</v>
      </c>
      <c r="E60" s="6" t="s">
        <v>21</v>
      </c>
      <c r="F60" s="7" t="s">
        <v>30</v>
      </c>
      <c r="G60" s="6" t="s">
        <v>22</v>
      </c>
      <c r="H60" s="5">
        <v>240</v>
      </c>
      <c r="I60" s="6" t="s">
        <v>41</v>
      </c>
    </row>
    <row r="61" spans="1:9">
      <c r="A61" s="6" t="s">
        <v>195</v>
      </c>
      <c r="B61" s="6" t="s">
        <v>196</v>
      </c>
      <c r="C61" s="6" t="s">
        <v>197</v>
      </c>
      <c r="D61" s="11">
        <v>45113</v>
      </c>
      <c r="E61" s="6" t="s">
        <v>9</v>
      </c>
      <c r="F61" s="7" t="s">
        <v>30</v>
      </c>
      <c r="G61" s="6" t="s">
        <v>10</v>
      </c>
      <c r="H61" s="5">
        <v>240</v>
      </c>
      <c r="I61" s="6" t="s">
        <v>41</v>
      </c>
    </row>
    <row r="62" spans="1:9">
      <c r="A62" s="6" t="s">
        <v>198</v>
      </c>
      <c r="B62" s="6" t="s">
        <v>199</v>
      </c>
      <c r="C62" s="6" t="s">
        <v>200</v>
      </c>
      <c r="D62" s="11">
        <v>44971</v>
      </c>
      <c r="E62" s="6" t="s">
        <v>9</v>
      </c>
      <c r="F62" s="7" t="s">
        <v>357</v>
      </c>
      <c r="G62" s="6" t="s">
        <v>22</v>
      </c>
      <c r="H62" s="5">
        <v>280</v>
      </c>
      <c r="I62" s="6" t="s">
        <v>11</v>
      </c>
    </row>
    <row r="63" spans="1:9">
      <c r="A63" s="6" t="s">
        <v>201</v>
      </c>
      <c r="B63" s="6" t="s">
        <v>202</v>
      </c>
      <c r="C63" s="6" t="s">
        <v>203</v>
      </c>
      <c r="D63" s="11">
        <v>45437</v>
      </c>
      <c r="E63" s="6" t="s">
        <v>9</v>
      </c>
      <c r="F63" s="7" t="s">
        <v>30</v>
      </c>
      <c r="G63" s="6" t="s">
        <v>10</v>
      </c>
      <c r="H63" s="5">
        <v>240</v>
      </c>
      <c r="I63" s="6" t="s">
        <v>17</v>
      </c>
    </row>
    <row r="64" spans="1:9">
      <c r="A64" s="6" t="s">
        <v>204</v>
      </c>
      <c r="B64" s="6" t="s">
        <v>205</v>
      </c>
      <c r="C64" s="6" t="s">
        <v>206</v>
      </c>
      <c r="D64" s="11">
        <v>45391</v>
      </c>
      <c r="E64" s="6" t="s">
        <v>9</v>
      </c>
      <c r="F64" s="7" t="s">
        <v>26</v>
      </c>
      <c r="G64" s="6" t="s">
        <v>22</v>
      </c>
      <c r="H64" s="5">
        <v>200</v>
      </c>
      <c r="I64" s="6" t="s">
        <v>41</v>
      </c>
    </row>
    <row r="65" spans="1:9">
      <c r="A65" s="6" t="s">
        <v>207</v>
      </c>
      <c r="B65" s="6" t="s">
        <v>208</v>
      </c>
      <c r="C65" s="6" t="s">
        <v>209</v>
      </c>
      <c r="D65" s="11">
        <v>45518</v>
      </c>
      <c r="E65" s="6" t="s">
        <v>21</v>
      </c>
      <c r="F65" s="7" t="s">
        <v>26</v>
      </c>
      <c r="G65" s="6" t="s">
        <v>10</v>
      </c>
      <c r="H65" s="5">
        <v>200</v>
      </c>
      <c r="I65" s="6" t="s">
        <v>41</v>
      </c>
    </row>
    <row r="66" spans="1:9">
      <c r="A66" s="6" t="s">
        <v>210</v>
      </c>
      <c r="B66" s="6" t="s">
        <v>211</v>
      </c>
      <c r="C66" s="6" t="s">
        <v>212</v>
      </c>
      <c r="D66" s="11">
        <v>45263</v>
      </c>
      <c r="E66" s="6" t="s">
        <v>15</v>
      </c>
      <c r="F66" s="7" t="s">
        <v>30</v>
      </c>
      <c r="G66" s="6" t="s">
        <v>22</v>
      </c>
      <c r="H66" s="5">
        <v>240</v>
      </c>
      <c r="I66" s="6" t="s">
        <v>41</v>
      </c>
    </row>
    <row r="67" spans="1:9">
      <c r="A67" s="6" t="s">
        <v>213</v>
      </c>
      <c r="B67" s="6" t="s">
        <v>214</v>
      </c>
      <c r="C67" s="6" t="s">
        <v>215</v>
      </c>
      <c r="D67" s="11">
        <v>45133</v>
      </c>
      <c r="E67" s="6" t="s">
        <v>21</v>
      </c>
      <c r="F67" s="7" t="s">
        <v>357</v>
      </c>
      <c r="G67" s="6" t="s">
        <v>22</v>
      </c>
      <c r="H67" s="5">
        <v>280</v>
      </c>
      <c r="I67" s="6" t="s">
        <v>31</v>
      </c>
    </row>
    <row r="68" spans="1:9">
      <c r="A68" s="6" t="s">
        <v>216</v>
      </c>
      <c r="B68" s="6" t="s">
        <v>217</v>
      </c>
      <c r="C68" s="6" t="s">
        <v>218</v>
      </c>
      <c r="D68" s="11">
        <v>44915</v>
      </c>
      <c r="E68" s="6" t="s">
        <v>9</v>
      </c>
      <c r="F68" s="7" t="s">
        <v>30</v>
      </c>
      <c r="G68" s="6" t="s">
        <v>22</v>
      </c>
      <c r="H68" s="5">
        <v>240</v>
      </c>
      <c r="I68" s="6" t="s">
        <v>11</v>
      </c>
    </row>
    <row r="69" spans="1:9">
      <c r="A69" s="6" t="s">
        <v>219</v>
      </c>
      <c r="B69" s="6" t="s">
        <v>220</v>
      </c>
      <c r="C69" s="6" t="s">
        <v>221</v>
      </c>
      <c r="D69" s="11">
        <v>45353</v>
      </c>
      <c r="E69" s="6" t="s">
        <v>15</v>
      </c>
      <c r="F69" s="7" t="s">
        <v>16</v>
      </c>
      <c r="G69" s="6" t="s">
        <v>10</v>
      </c>
      <c r="H69" s="5">
        <v>270</v>
      </c>
      <c r="I69" s="6" t="s">
        <v>41</v>
      </c>
    </row>
    <row r="70" spans="1:9">
      <c r="A70" s="6" t="s">
        <v>222</v>
      </c>
      <c r="B70" s="6" t="s">
        <v>223</v>
      </c>
      <c r="C70" s="6" t="s">
        <v>224</v>
      </c>
      <c r="D70" s="11">
        <v>45041</v>
      </c>
      <c r="E70" s="6" t="s">
        <v>15</v>
      </c>
      <c r="F70" s="7" t="s">
        <v>16</v>
      </c>
      <c r="G70" s="6" t="s">
        <v>10</v>
      </c>
      <c r="H70" s="5">
        <v>270</v>
      </c>
      <c r="I70" s="6" t="s">
        <v>17</v>
      </c>
    </row>
    <row r="71" spans="1:9">
      <c r="A71" s="6" t="s">
        <v>225</v>
      </c>
      <c r="B71" s="6" t="s">
        <v>226</v>
      </c>
      <c r="C71" s="6" t="s">
        <v>227</v>
      </c>
      <c r="D71" s="11">
        <v>45315</v>
      </c>
      <c r="E71" s="6" t="s">
        <v>21</v>
      </c>
      <c r="F71" s="7" t="s">
        <v>30</v>
      </c>
      <c r="G71" s="6" t="s">
        <v>10</v>
      </c>
      <c r="H71" s="5">
        <v>240</v>
      </c>
      <c r="I71" s="6" t="s">
        <v>31</v>
      </c>
    </row>
    <row r="72" spans="1:9">
      <c r="A72" s="6" t="s">
        <v>228</v>
      </c>
      <c r="B72" s="6" t="s">
        <v>229</v>
      </c>
      <c r="C72" s="6" t="s">
        <v>230</v>
      </c>
      <c r="D72" s="11">
        <v>45350</v>
      </c>
      <c r="E72" s="6" t="s">
        <v>21</v>
      </c>
      <c r="F72" s="7" t="s">
        <v>357</v>
      </c>
      <c r="G72" s="6" t="s">
        <v>10</v>
      </c>
      <c r="H72" s="5">
        <v>280</v>
      </c>
      <c r="I72" s="6" t="s">
        <v>31</v>
      </c>
    </row>
    <row r="73" spans="1:9">
      <c r="A73" s="6" t="s">
        <v>231</v>
      </c>
      <c r="B73" s="6" t="s">
        <v>232</v>
      </c>
      <c r="C73" s="6" t="s">
        <v>233</v>
      </c>
      <c r="D73" s="11">
        <v>45048</v>
      </c>
      <c r="E73" s="6" t="s">
        <v>15</v>
      </c>
      <c r="F73" s="7" t="s">
        <v>30</v>
      </c>
      <c r="G73" s="6" t="s">
        <v>10</v>
      </c>
      <c r="H73" s="5">
        <v>240</v>
      </c>
      <c r="I73" s="6" t="s">
        <v>17</v>
      </c>
    </row>
    <row r="74" spans="1:9">
      <c r="A74" s="6" t="s">
        <v>234</v>
      </c>
      <c r="B74" s="6" t="s">
        <v>235</v>
      </c>
      <c r="C74" s="6" t="s">
        <v>236</v>
      </c>
      <c r="D74" s="11">
        <v>45345</v>
      </c>
      <c r="E74" s="6" t="s">
        <v>9</v>
      </c>
      <c r="F74" s="7" t="s">
        <v>357</v>
      </c>
      <c r="G74" s="6" t="s">
        <v>10</v>
      </c>
      <c r="H74" s="5">
        <v>280</v>
      </c>
      <c r="I74" s="6" t="s">
        <v>41</v>
      </c>
    </row>
    <row r="75" spans="1:9">
      <c r="A75" s="6" t="s">
        <v>237</v>
      </c>
      <c r="B75" s="6" t="s">
        <v>238</v>
      </c>
      <c r="C75" s="6" t="s">
        <v>239</v>
      </c>
      <c r="D75" s="11">
        <v>44909</v>
      </c>
      <c r="E75" s="6" t="s">
        <v>21</v>
      </c>
      <c r="F75" s="7" t="s">
        <v>26</v>
      </c>
      <c r="G75" s="6" t="s">
        <v>22</v>
      </c>
      <c r="H75" s="5">
        <v>200</v>
      </c>
      <c r="I75" s="6" t="s">
        <v>17</v>
      </c>
    </row>
    <row r="76" spans="1:9">
      <c r="A76" s="6" t="s">
        <v>240</v>
      </c>
      <c r="B76" s="6" t="s">
        <v>241</v>
      </c>
      <c r="C76" s="6" t="s">
        <v>242</v>
      </c>
      <c r="D76" s="11">
        <v>45461</v>
      </c>
      <c r="E76" s="6" t="s">
        <v>9</v>
      </c>
      <c r="F76" s="7" t="s">
        <v>26</v>
      </c>
      <c r="G76" s="6" t="s">
        <v>10</v>
      </c>
      <c r="H76" s="5">
        <v>200</v>
      </c>
      <c r="I76" s="6" t="s">
        <v>11</v>
      </c>
    </row>
    <row r="77" spans="1:9">
      <c r="A77" s="6" t="s">
        <v>243</v>
      </c>
      <c r="B77" s="6" t="s">
        <v>244</v>
      </c>
      <c r="C77" s="6" t="s">
        <v>245</v>
      </c>
      <c r="D77" s="11">
        <v>45019</v>
      </c>
      <c r="E77" s="6" t="s">
        <v>21</v>
      </c>
      <c r="F77" s="7" t="s">
        <v>30</v>
      </c>
      <c r="G77" s="6" t="s">
        <v>22</v>
      </c>
      <c r="H77" s="5">
        <v>240</v>
      </c>
      <c r="I77" s="6" t="s">
        <v>31</v>
      </c>
    </row>
    <row r="78" spans="1:9">
      <c r="A78" s="6" t="s">
        <v>246</v>
      </c>
      <c r="B78" s="6" t="s">
        <v>247</v>
      </c>
      <c r="C78" s="6" t="s">
        <v>248</v>
      </c>
      <c r="D78" s="11">
        <v>45605</v>
      </c>
      <c r="E78" s="6" t="s">
        <v>9</v>
      </c>
      <c r="F78" s="7" t="s">
        <v>357</v>
      </c>
      <c r="G78" s="6" t="s">
        <v>22</v>
      </c>
      <c r="H78" s="5">
        <v>280</v>
      </c>
      <c r="I78" s="6" t="s">
        <v>17</v>
      </c>
    </row>
    <row r="79" spans="1:9">
      <c r="A79" s="6" t="s">
        <v>249</v>
      </c>
      <c r="B79" s="6" t="s">
        <v>250</v>
      </c>
      <c r="C79" s="6" t="s">
        <v>251</v>
      </c>
      <c r="D79" s="11">
        <v>45399</v>
      </c>
      <c r="E79" s="6" t="s">
        <v>21</v>
      </c>
      <c r="F79" s="7" t="s">
        <v>30</v>
      </c>
      <c r="G79" s="6" t="s">
        <v>10</v>
      </c>
      <c r="H79" s="5">
        <v>240</v>
      </c>
      <c r="I79" s="6" t="s">
        <v>31</v>
      </c>
    </row>
    <row r="80" spans="1:9">
      <c r="A80" s="6" t="s">
        <v>252</v>
      </c>
      <c r="B80" s="6" t="s">
        <v>253</v>
      </c>
      <c r="C80" s="6" t="s">
        <v>254</v>
      </c>
      <c r="D80" s="11">
        <v>45072</v>
      </c>
      <c r="E80" s="6" t="s">
        <v>9</v>
      </c>
      <c r="F80" s="7" t="s">
        <v>16</v>
      </c>
      <c r="G80" s="6" t="s">
        <v>22</v>
      </c>
      <c r="H80" s="5">
        <v>270</v>
      </c>
      <c r="I80" s="6" t="s">
        <v>41</v>
      </c>
    </row>
    <row r="81" spans="1:9">
      <c r="A81" s="6" t="s">
        <v>255</v>
      </c>
      <c r="B81" s="6" t="s">
        <v>256</v>
      </c>
      <c r="C81" s="6" t="s">
        <v>257</v>
      </c>
      <c r="D81" s="11">
        <v>44921</v>
      </c>
      <c r="E81" s="6" t="s">
        <v>21</v>
      </c>
      <c r="F81" s="7" t="s">
        <v>30</v>
      </c>
      <c r="G81" s="6" t="s">
        <v>10</v>
      </c>
      <c r="H81" s="5">
        <v>240</v>
      </c>
      <c r="I81" s="6" t="s">
        <v>41</v>
      </c>
    </row>
    <row r="82" spans="1:9">
      <c r="A82" s="6" t="s">
        <v>258</v>
      </c>
      <c r="B82" s="6" t="s">
        <v>259</v>
      </c>
      <c r="C82" s="6" t="s">
        <v>260</v>
      </c>
      <c r="D82" s="11">
        <v>44976</v>
      </c>
      <c r="E82" s="6" t="s">
        <v>21</v>
      </c>
      <c r="F82" s="7" t="s">
        <v>16</v>
      </c>
      <c r="G82" s="6" t="s">
        <v>10</v>
      </c>
      <c r="H82" s="5">
        <v>270</v>
      </c>
      <c r="I82" s="6" t="s">
        <v>11</v>
      </c>
    </row>
    <row r="83" spans="1:9">
      <c r="A83" s="6" t="s">
        <v>261</v>
      </c>
      <c r="B83" s="6" t="s">
        <v>262</v>
      </c>
      <c r="C83" s="6" t="s">
        <v>263</v>
      </c>
      <c r="D83" s="11">
        <v>44878</v>
      </c>
      <c r="E83" s="6" t="s">
        <v>21</v>
      </c>
      <c r="F83" s="7" t="s">
        <v>30</v>
      </c>
      <c r="G83" s="6" t="s">
        <v>10</v>
      </c>
      <c r="H83" s="5">
        <v>240</v>
      </c>
      <c r="I83" s="6" t="s">
        <v>11</v>
      </c>
    </row>
    <row r="84" spans="1:9">
      <c r="A84" s="6" t="s">
        <v>264</v>
      </c>
      <c r="B84" s="6" t="s">
        <v>265</v>
      </c>
      <c r="C84" s="6" t="s">
        <v>266</v>
      </c>
      <c r="D84" s="11">
        <v>45526</v>
      </c>
      <c r="E84" s="6" t="s">
        <v>15</v>
      </c>
      <c r="F84" s="7" t="s">
        <v>16</v>
      </c>
      <c r="G84" s="6" t="s">
        <v>10</v>
      </c>
      <c r="H84" s="5">
        <v>270</v>
      </c>
      <c r="I84" s="6" t="s">
        <v>11</v>
      </c>
    </row>
    <row r="85" spans="1:9">
      <c r="A85" s="6" t="s">
        <v>267</v>
      </c>
      <c r="B85" s="6" t="s">
        <v>268</v>
      </c>
      <c r="C85" s="6" t="s">
        <v>269</v>
      </c>
      <c r="D85" s="11">
        <v>45459</v>
      </c>
      <c r="E85" s="6" t="s">
        <v>15</v>
      </c>
      <c r="F85" s="7" t="s">
        <v>16</v>
      </c>
      <c r="G85" s="6" t="s">
        <v>22</v>
      </c>
      <c r="H85" s="5">
        <v>270</v>
      </c>
      <c r="I85" s="6" t="s">
        <v>41</v>
      </c>
    </row>
    <row r="86" spans="1:9">
      <c r="A86" s="6" t="s">
        <v>270</v>
      </c>
      <c r="B86" s="6" t="s">
        <v>271</v>
      </c>
      <c r="C86" s="6" t="s">
        <v>272</v>
      </c>
      <c r="D86" s="11">
        <v>45588</v>
      </c>
      <c r="E86" s="6" t="s">
        <v>9</v>
      </c>
      <c r="F86" s="7" t="s">
        <v>16</v>
      </c>
      <c r="G86" s="6" t="s">
        <v>10</v>
      </c>
      <c r="H86" s="5">
        <v>270</v>
      </c>
      <c r="I86" s="6" t="s">
        <v>31</v>
      </c>
    </row>
    <row r="87" spans="1:9">
      <c r="A87" s="6" t="s">
        <v>273</v>
      </c>
      <c r="B87" s="6" t="s">
        <v>274</v>
      </c>
      <c r="C87" s="6" t="s">
        <v>275</v>
      </c>
      <c r="D87" s="11">
        <v>45581</v>
      </c>
      <c r="E87" s="6" t="s">
        <v>15</v>
      </c>
      <c r="F87" s="7" t="s">
        <v>26</v>
      </c>
      <c r="G87" s="6" t="s">
        <v>22</v>
      </c>
      <c r="H87" s="5">
        <v>200</v>
      </c>
      <c r="I87" s="6" t="s">
        <v>41</v>
      </c>
    </row>
    <row r="88" spans="1:9">
      <c r="A88" s="6" t="s">
        <v>276</v>
      </c>
      <c r="B88" s="6" t="s">
        <v>277</v>
      </c>
      <c r="C88" s="6" t="s">
        <v>278</v>
      </c>
      <c r="D88" s="11">
        <v>45028</v>
      </c>
      <c r="E88" s="6" t="s">
        <v>15</v>
      </c>
      <c r="F88" s="7" t="s">
        <v>30</v>
      </c>
      <c r="G88" s="6" t="s">
        <v>10</v>
      </c>
      <c r="H88" s="5">
        <v>240</v>
      </c>
      <c r="I88" s="6" t="s">
        <v>41</v>
      </c>
    </row>
    <row r="89" spans="1:9">
      <c r="A89" s="6" t="s">
        <v>279</v>
      </c>
      <c r="B89" s="6" t="s">
        <v>280</v>
      </c>
      <c r="C89" s="6" t="s">
        <v>281</v>
      </c>
      <c r="D89" s="11">
        <v>45178</v>
      </c>
      <c r="E89" s="6" t="s">
        <v>21</v>
      </c>
      <c r="F89" s="7" t="s">
        <v>26</v>
      </c>
      <c r="G89" s="6" t="s">
        <v>10</v>
      </c>
      <c r="H89" s="5">
        <v>200</v>
      </c>
      <c r="I89" s="6" t="s">
        <v>17</v>
      </c>
    </row>
    <row r="90" spans="1:9">
      <c r="A90" s="6" t="s">
        <v>282</v>
      </c>
      <c r="B90" s="6" t="s">
        <v>283</v>
      </c>
      <c r="C90" s="6" t="s">
        <v>284</v>
      </c>
      <c r="D90" s="11">
        <v>45471</v>
      </c>
      <c r="E90" s="6" t="s">
        <v>21</v>
      </c>
      <c r="F90" s="7" t="s">
        <v>30</v>
      </c>
      <c r="G90" s="6" t="s">
        <v>10</v>
      </c>
      <c r="H90" s="5">
        <v>240</v>
      </c>
      <c r="I90" s="6" t="s">
        <v>11</v>
      </c>
    </row>
    <row r="91" spans="1:9">
      <c r="A91" s="6" t="s">
        <v>285</v>
      </c>
      <c r="B91" s="6" t="s">
        <v>286</v>
      </c>
      <c r="C91" s="6" t="s">
        <v>287</v>
      </c>
      <c r="D91" s="11">
        <v>44943</v>
      </c>
      <c r="E91" s="6" t="s">
        <v>15</v>
      </c>
      <c r="F91" s="7" t="s">
        <v>26</v>
      </c>
      <c r="G91" s="6" t="s">
        <v>22</v>
      </c>
      <c r="H91" s="5">
        <v>200</v>
      </c>
      <c r="I91" s="6" t="s">
        <v>11</v>
      </c>
    </row>
    <row r="92" spans="1:9">
      <c r="A92" s="6" t="s">
        <v>288</v>
      </c>
      <c r="B92" s="6" t="s">
        <v>289</v>
      </c>
      <c r="C92" s="6" t="s">
        <v>290</v>
      </c>
      <c r="D92" s="11">
        <v>45233</v>
      </c>
      <c r="E92" s="6" t="s">
        <v>15</v>
      </c>
      <c r="F92" s="7" t="s">
        <v>26</v>
      </c>
      <c r="G92" s="6" t="s">
        <v>10</v>
      </c>
      <c r="H92" s="5">
        <v>200</v>
      </c>
      <c r="I92" s="6" t="s">
        <v>41</v>
      </c>
    </row>
    <row r="93" spans="1:9">
      <c r="A93" s="6" t="s">
        <v>291</v>
      </c>
      <c r="B93" s="6" t="s">
        <v>292</v>
      </c>
      <c r="C93" s="6" t="s">
        <v>293</v>
      </c>
      <c r="D93" s="11">
        <v>45224</v>
      </c>
      <c r="E93" s="6" t="s">
        <v>9</v>
      </c>
      <c r="F93" s="7" t="s">
        <v>30</v>
      </c>
      <c r="G93" s="6" t="s">
        <v>10</v>
      </c>
      <c r="H93" s="5">
        <v>240</v>
      </c>
      <c r="I93" s="6" t="s">
        <v>31</v>
      </c>
    </row>
    <row r="94" spans="1:9">
      <c r="A94" s="6" t="s">
        <v>294</v>
      </c>
      <c r="B94" s="6" t="s">
        <v>295</v>
      </c>
      <c r="C94" s="6" t="s">
        <v>296</v>
      </c>
      <c r="D94" s="11">
        <v>45571</v>
      </c>
      <c r="E94" s="6" t="s">
        <v>9</v>
      </c>
      <c r="F94" s="7" t="s">
        <v>357</v>
      </c>
      <c r="G94" s="6" t="s">
        <v>10</v>
      </c>
      <c r="H94" s="5">
        <v>280</v>
      </c>
      <c r="I94" s="6" t="s">
        <v>31</v>
      </c>
    </row>
    <row r="95" spans="1:9">
      <c r="A95" s="6" t="s">
        <v>297</v>
      </c>
      <c r="B95" s="6" t="s">
        <v>298</v>
      </c>
      <c r="C95" s="6" t="s">
        <v>299</v>
      </c>
      <c r="D95" s="11">
        <v>45350</v>
      </c>
      <c r="E95" s="6" t="s">
        <v>15</v>
      </c>
      <c r="F95" s="7" t="s">
        <v>26</v>
      </c>
      <c r="G95" s="6" t="s">
        <v>10</v>
      </c>
      <c r="H95" s="5">
        <v>200</v>
      </c>
      <c r="I95" s="6" t="s">
        <v>17</v>
      </c>
    </row>
    <row r="96" spans="1:9">
      <c r="A96" s="6" t="s">
        <v>300</v>
      </c>
      <c r="B96" s="6" t="s">
        <v>301</v>
      </c>
      <c r="C96" s="6" t="s">
        <v>302</v>
      </c>
      <c r="D96" s="11">
        <v>45562</v>
      </c>
      <c r="E96" s="6" t="s">
        <v>15</v>
      </c>
      <c r="F96" s="7" t="s">
        <v>357</v>
      </c>
      <c r="G96" s="6" t="s">
        <v>22</v>
      </c>
      <c r="H96" s="5">
        <v>280</v>
      </c>
      <c r="I96" s="6" t="s">
        <v>41</v>
      </c>
    </row>
    <row r="97" spans="1:9">
      <c r="A97" s="6" t="s">
        <v>303</v>
      </c>
      <c r="B97" s="6" t="s">
        <v>304</v>
      </c>
      <c r="C97" s="6" t="s">
        <v>305</v>
      </c>
      <c r="D97" s="11">
        <v>45138</v>
      </c>
      <c r="E97" s="6" t="s">
        <v>21</v>
      </c>
      <c r="F97" s="7" t="s">
        <v>26</v>
      </c>
      <c r="G97" s="6" t="s">
        <v>10</v>
      </c>
      <c r="H97" s="5">
        <v>200</v>
      </c>
      <c r="I97" s="6" t="s">
        <v>41</v>
      </c>
    </row>
    <row r="98" spans="1:9">
      <c r="A98" s="6" t="s">
        <v>306</v>
      </c>
      <c r="B98" s="6" t="s">
        <v>307</v>
      </c>
      <c r="C98" s="6" t="s">
        <v>308</v>
      </c>
      <c r="D98" s="11">
        <v>45101</v>
      </c>
      <c r="E98" s="6" t="s">
        <v>9</v>
      </c>
      <c r="F98" s="7" t="s">
        <v>30</v>
      </c>
      <c r="G98" s="6" t="s">
        <v>22</v>
      </c>
      <c r="H98" s="5">
        <v>240</v>
      </c>
      <c r="I98" s="6" t="s">
        <v>17</v>
      </c>
    </row>
    <row r="99" spans="1:9">
      <c r="A99" s="6" t="s">
        <v>309</v>
      </c>
      <c r="B99" s="6" t="s">
        <v>310</v>
      </c>
      <c r="C99" s="6" t="s">
        <v>311</v>
      </c>
      <c r="D99" s="11">
        <v>45180</v>
      </c>
      <c r="E99" s="6" t="s">
        <v>9</v>
      </c>
      <c r="F99" s="7" t="s">
        <v>357</v>
      </c>
      <c r="G99" s="6" t="s">
        <v>10</v>
      </c>
      <c r="H99" s="5">
        <v>280</v>
      </c>
      <c r="I99" s="6" t="s">
        <v>11</v>
      </c>
    </row>
    <row r="100" spans="1:9">
      <c r="A100" s="6" t="s">
        <v>312</v>
      </c>
      <c r="B100" s="6" t="s">
        <v>313</v>
      </c>
      <c r="C100" s="6" t="s">
        <v>314</v>
      </c>
      <c r="D100" s="11">
        <v>45333</v>
      </c>
      <c r="E100" s="6" t="s">
        <v>21</v>
      </c>
      <c r="F100" s="7" t="s">
        <v>26</v>
      </c>
      <c r="G100" s="6" t="s">
        <v>10</v>
      </c>
      <c r="H100" s="5">
        <v>200</v>
      </c>
      <c r="I100" s="6" t="s">
        <v>11</v>
      </c>
    </row>
    <row r="101" spans="1:9">
      <c r="A101" s="6" t="s">
        <v>315</v>
      </c>
      <c r="B101" s="6" t="s">
        <v>316</v>
      </c>
      <c r="C101" s="6" t="s">
        <v>317</v>
      </c>
      <c r="D101" s="11">
        <v>45425</v>
      </c>
      <c r="E101" s="6" t="s">
        <v>15</v>
      </c>
      <c r="F101" s="7" t="s">
        <v>26</v>
      </c>
      <c r="G101" s="6" t="s">
        <v>10</v>
      </c>
      <c r="H101" s="5">
        <v>200</v>
      </c>
      <c r="I101" s="6" t="s">
        <v>11</v>
      </c>
    </row>
  </sheetData>
  <pageMargins left="0.7" right="0.7" top="0.75" bottom="0.75" header="0" footer="0"/>
  <pageSetup orientation="landscape" r:id="rId1"/>
  <drawing r:id="rId2"/>
  <legacyDrawing r:id="rId3"/>
  <controls>
    <mc:AlternateContent xmlns:mc="http://schemas.openxmlformats.org/markup-compatibility/2006">
      <mc:Choice Requires="x14">
        <control shapeId="12289" r:id="rId4" name="cmdRunInterface">
          <controlPr defaultSize="0" autoLine="0" r:id="rId5">
            <anchor moveWithCells="1">
              <from>
                <xdr:col>9</xdr:col>
                <xdr:colOff>30480</xdr:colOff>
                <xdr:row>0</xdr:row>
                <xdr:rowOff>30480</xdr:rowOff>
              </from>
              <to>
                <xdr:col>10</xdr:col>
                <xdr:colOff>152400</xdr:colOff>
                <xdr:row>2</xdr:row>
                <xdr:rowOff>0</xdr:rowOff>
              </to>
            </anchor>
          </controlPr>
        </control>
      </mc:Choice>
      <mc:Fallback>
        <control shapeId="12289" r:id="rId4" name="cmdRunInterface"/>
      </mc:Fallback>
    </mc:AlternateContent>
  </controls>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3684A-A733-463D-A629-E7455679A565}">
  <sheetPr codeName="Sheet4">
    <tabColor theme="0" tint="-0.249977111117893"/>
  </sheetPr>
  <dimension ref="A1:C32"/>
  <sheetViews>
    <sheetView workbookViewId="0"/>
  </sheetViews>
  <sheetFormatPr defaultColWidth="11.77734375" defaultRowHeight="14.4"/>
  <cols>
    <col min="1" max="1" width="18.88671875" bestFit="1" customWidth="1"/>
    <col min="2" max="2" width="10.44140625" bestFit="1" customWidth="1"/>
    <col min="3" max="3" width="11.77734375" bestFit="1" customWidth="1"/>
  </cols>
  <sheetData>
    <row r="1" spans="1:3">
      <c r="A1" s="14" t="s">
        <v>364</v>
      </c>
      <c r="B1" t="s">
        <v>363</v>
      </c>
      <c r="C1" t="s">
        <v>335</v>
      </c>
    </row>
    <row r="2" spans="1:3">
      <c r="A2" s="15" t="s">
        <v>330</v>
      </c>
      <c r="B2" s="5">
        <v>1120</v>
      </c>
      <c r="C2">
        <v>5</v>
      </c>
    </row>
    <row r="3" spans="1:3">
      <c r="A3" s="16" t="s">
        <v>336</v>
      </c>
      <c r="B3" s="5">
        <v>240</v>
      </c>
      <c r="C3">
        <v>1</v>
      </c>
    </row>
    <row r="4" spans="1:3">
      <c r="A4" s="16" t="s">
        <v>337</v>
      </c>
      <c r="B4" s="5">
        <v>880</v>
      </c>
      <c r="C4">
        <v>4</v>
      </c>
    </row>
    <row r="5" spans="1:3">
      <c r="A5" s="15" t="s">
        <v>331</v>
      </c>
      <c r="B5" s="5">
        <v>9940</v>
      </c>
      <c r="C5">
        <v>41</v>
      </c>
    </row>
    <row r="6" spans="1:3">
      <c r="A6" s="16" t="s">
        <v>338</v>
      </c>
      <c r="B6" s="5">
        <v>440</v>
      </c>
      <c r="C6">
        <v>2</v>
      </c>
    </row>
    <row r="7" spans="1:3">
      <c r="A7" s="16" t="s">
        <v>339</v>
      </c>
      <c r="B7" s="5">
        <v>1980</v>
      </c>
      <c r="C7">
        <v>8</v>
      </c>
    </row>
    <row r="8" spans="1:3">
      <c r="A8" s="16" t="s">
        <v>340</v>
      </c>
      <c r="B8" s="5">
        <v>240</v>
      </c>
      <c r="C8">
        <v>1</v>
      </c>
    </row>
    <row r="9" spans="1:3">
      <c r="A9" s="16" t="s">
        <v>341</v>
      </c>
      <c r="B9" s="5">
        <v>1470</v>
      </c>
      <c r="C9">
        <v>6</v>
      </c>
    </row>
    <row r="10" spans="1:3">
      <c r="A10" s="16" t="s">
        <v>342</v>
      </c>
      <c r="B10" s="5">
        <v>790</v>
      </c>
      <c r="C10">
        <v>3</v>
      </c>
    </row>
    <row r="11" spans="1:3">
      <c r="A11" s="16" t="s">
        <v>343</v>
      </c>
      <c r="B11" s="5">
        <v>510</v>
      </c>
      <c r="C11">
        <v>2</v>
      </c>
    </row>
    <row r="12" spans="1:3">
      <c r="A12" s="16" t="s">
        <v>344</v>
      </c>
      <c r="B12" s="5">
        <v>1160</v>
      </c>
      <c r="C12">
        <v>5</v>
      </c>
    </row>
    <row r="13" spans="1:3">
      <c r="A13" s="16" t="s">
        <v>345</v>
      </c>
      <c r="B13" s="5">
        <v>720</v>
      </c>
      <c r="C13">
        <v>3</v>
      </c>
    </row>
    <row r="14" spans="1:3">
      <c r="A14" s="16" t="s">
        <v>346</v>
      </c>
      <c r="B14" s="5">
        <v>720</v>
      </c>
      <c r="C14">
        <v>3</v>
      </c>
    </row>
    <row r="15" spans="1:3">
      <c r="A15" s="16" t="s">
        <v>347</v>
      </c>
      <c r="B15" s="5">
        <v>920</v>
      </c>
      <c r="C15">
        <v>4</v>
      </c>
    </row>
    <row r="16" spans="1:3">
      <c r="A16" s="16" t="s">
        <v>336</v>
      </c>
      <c r="B16" s="5">
        <v>470</v>
      </c>
      <c r="C16">
        <v>2</v>
      </c>
    </row>
    <row r="17" spans="1:3">
      <c r="A17" s="16" t="s">
        <v>337</v>
      </c>
      <c r="B17" s="5">
        <v>520</v>
      </c>
      <c r="C17">
        <v>2</v>
      </c>
    </row>
    <row r="18" spans="1:3">
      <c r="A18" s="15" t="s">
        <v>332</v>
      </c>
      <c r="B18" s="5">
        <v>12740</v>
      </c>
      <c r="C18">
        <v>53</v>
      </c>
    </row>
    <row r="19" spans="1:3">
      <c r="A19" s="16" t="s">
        <v>338</v>
      </c>
      <c r="B19" s="5">
        <v>1560</v>
      </c>
      <c r="C19">
        <v>7</v>
      </c>
    </row>
    <row r="20" spans="1:3">
      <c r="A20" s="16" t="s">
        <v>339</v>
      </c>
      <c r="B20" s="5">
        <v>2110</v>
      </c>
      <c r="C20">
        <v>9</v>
      </c>
    </row>
    <row r="21" spans="1:3">
      <c r="A21" s="16" t="s">
        <v>340</v>
      </c>
      <c r="B21" s="5">
        <v>1250</v>
      </c>
      <c r="C21">
        <v>5</v>
      </c>
    </row>
    <row r="22" spans="1:3">
      <c r="A22" s="16" t="s">
        <v>341</v>
      </c>
      <c r="B22" s="5">
        <v>640</v>
      </c>
      <c r="C22">
        <v>3</v>
      </c>
    </row>
    <row r="23" spans="1:3">
      <c r="A23" s="16" t="s">
        <v>342</v>
      </c>
      <c r="B23" s="5">
        <v>680</v>
      </c>
      <c r="C23">
        <v>3</v>
      </c>
    </row>
    <row r="24" spans="1:3">
      <c r="A24" s="16" t="s">
        <v>343</v>
      </c>
      <c r="B24" s="5">
        <v>1510</v>
      </c>
      <c r="C24">
        <v>6</v>
      </c>
    </row>
    <row r="25" spans="1:3">
      <c r="A25" s="16" t="s">
        <v>344</v>
      </c>
      <c r="B25" s="5">
        <v>680</v>
      </c>
      <c r="C25">
        <v>3</v>
      </c>
    </row>
    <row r="26" spans="1:3">
      <c r="A26" s="16" t="s">
        <v>345</v>
      </c>
      <c r="B26" s="5">
        <v>1820</v>
      </c>
      <c r="C26">
        <v>7</v>
      </c>
    </row>
    <row r="27" spans="1:3">
      <c r="A27" s="16" t="s">
        <v>346</v>
      </c>
      <c r="B27" s="5">
        <v>520</v>
      </c>
      <c r="C27">
        <v>2</v>
      </c>
    </row>
    <row r="28" spans="1:3">
      <c r="A28" s="16" t="s">
        <v>347</v>
      </c>
      <c r="B28" s="5">
        <v>1420</v>
      </c>
      <c r="C28">
        <v>6</v>
      </c>
    </row>
    <row r="29" spans="1:3">
      <c r="A29" s="16" t="s">
        <v>336</v>
      </c>
      <c r="B29" s="5">
        <v>550</v>
      </c>
      <c r="C29">
        <v>2</v>
      </c>
    </row>
    <row r="30" spans="1:3">
      <c r="A30" s="15" t="s">
        <v>333</v>
      </c>
      <c r="B30" s="5">
        <v>280</v>
      </c>
      <c r="C30">
        <v>1</v>
      </c>
    </row>
    <row r="31" spans="1:3">
      <c r="A31" s="16" t="s">
        <v>338</v>
      </c>
      <c r="B31" s="5">
        <v>280</v>
      </c>
      <c r="C31">
        <v>1</v>
      </c>
    </row>
    <row r="32" spans="1:3">
      <c r="A32" s="15" t="s">
        <v>329</v>
      </c>
      <c r="B32" s="5">
        <v>24080</v>
      </c>
      <c r="C32">
        <v>100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23221-A6AD-40C7-AB17-79B1EF470144}">
  <sheetPr codeName="Sheet12">
    <tabColor theme="0" tint="-0.249977111117893"/>
  </sheetPr>
  <dimension ref="A1:N40"/>
  <sheetViews>
    <sheetView zoomScale="76" zoomScaleNormal="76" workbookViewId="0">
      <selection activeCell="C21" sqref="C21"/>
    </sheetView>
  </sheetViews>
  <sheetFormatPr defaultRowHeight="14.4"/>
  <cols>
    <col min="1" max="1" width="15.44140625" customWidth="1"/>
    <col min="2" max="2" width="16.33203125" customWidth="1"/>
    <col min="3" max="3" width="22.5546875" customWidth="1"/>
    <col min="5" max="5" width="29.6640625" bestFit="1" customWidth="1"/>
    <col min="6" max="11" width="25.44140625" customWidth="1"/>
    <col min="13" max="13" width="26.88671875" bestFit="1" customWidth="1"/>
    <col min="14" max="14" width="15.6640625" bestFit="1" customWidth="1"/>
  </cols>
  <sheetData>
    <row r="1" spans="1:14" ht="28.8">
      <c r="A1" s="25" t="s">
        <v>348</v>
      </c>
      <c r="B1" s="25" t="s">
        <v>350</v>
      </c>
      <c r="C1" s="25" t="s">
        <v>349</v>
      </c>
      <c r="F1" s="40"/>
      <c r="G1" s="40"/>
      <c r="H1" s="40"/>
      <c r="I1" s="40"/>
      <c r="J1" s="40"/>
      <c r="K1" s="40"/>
    </row>
    <row r="2" spans="1:14" ht="57.6">
      <c r="A2" s="18">
        <v>44866</v>
      </c>
      <c r="B2" cm="1">
        <f t="array" ref="B2">COUNT(_xlfn._xlws.FILTER(tblEventData[Registration Date],(tblEventData[Registration Date]&gt;=A2)*(tblEventData[Registration Date]&lt;A3)))</f>
        <v>1</v>
      </c>
      <c r="E2" s="58" t="s">
        <v>371</v>
      </c>
      <c r="F2" s="38" t="s">
        <v>381</v>
      </c>
      <c r="G2" s="38" t="s">
        <v>382</v>
      </c>
      <c r="H2" s="38" t="s">
        <v>383</v>
      </c>
      <c r="I2" s="38" t="s">
        <v>384</v>
      </c>
      <c r="J2" s="38" t="s">
        <v>385</v>
      </c>
      <c r="K2" s="38" t="s">
        <v>386</v>
      </c>
      <c r="N2" s="39" t="s">
        <v>372</v>
      </c>
    </row>
    <row r="3" spans="1:14">
      <c r="A3" s="18">
        <v>44896</v>
      </c>
      <c r="B3" cm="1">
        <f t="array" ref="B3">COUNT(_xlfn._xlws.FILTER(tblEventData[Registration Date],(tblEventData[Registration Date]&gt;=A3)*(tblEventData[Registration Date]&lt;A4)))</f>
        <v>4</v>
      </c>
      <c r="E3" s="42" t="s">
        <v>351</v>
      </c>
      <c r="F3" s="22">
        <f t="shared" ref="F3:K3" si="0">+F4*F5</f>
        <v>9500</v>
      </c>
      <c r="G3" s="22">
        <f t="shared" si="0"/>
        <v>59499.999999999985</v>
      </c>
      <c r="H3" s="22">
        <f t="shared" si="0"/>
        <v>59500</v>
      </c>
      <c r="I3" s="22">
        <f t="shared" si="0"/>
        <v>34999.999999999993</v>
      </c>
      <c r="J3" s="22">
        <f t="shared" si="0"/>
        <v>135000</v>
      </c>
      <c r="K3" s="22">
        <f t="shared" si="0"/>
        <v>135000</v>
      </c>
      <c r="M3" s="42" t="s">
        <v>351</v>
      </c>
      <c r="N3" s="22">
        <f>+N4*N5</f>
        <v>9500.00000000002</v>
      </c>
    </row>
    <row r="4" spans="1:14">
      <c r="A4" s="18">
        <v>44927</v>
      </c>
      <c r="B4" cm="1">
        <f t="array" ref="B4">COUNT(_xlfn._xlws.FILTER(tblEventData[Registration Date],(tblEventData[Registration Date]&gt;=A4)*(tblEventData[Registration Date]&lt;A5)))</f>
        <v>2</v>
      </c>
      <c r="E4" s="36" t="s">
        <v>352</v>
      </c>
      <c r="F4" s="22">
        <v>173.04565226646056</v>
      </c>
      <c r="G4" s="22">
        <v>1083.8122431425686</v>
      </c>
      <c r="H4" s="22">
        <f>+F4</f>
        <v>173.04565226646056</v>
      </c>
      <c r="I4" s="22">
        <v>637.53661361327568</v>
      </c>
      <c r="J4" s="22">
        <v>2459.0697953654922</v>
      </c>
      <c r="K4" s="22">
        <f>+I4</f>
        <v>637.53661361327568</v>
      </c>
      <c r="M4" s="36" t="s">
        <v>352</v>
      </c>
      <c r="N4" s="22">
        <v>173.04565226646099</v>
      </c>
    </row>
    <row r="5" spans="1:14">
      <c r="A5" s="18">
        <v>44958</v>
      </c>
      <c r="B5" cm="1">
        <f t="array" ref="B5">COUNT(_xlfn._xlws.FILTER(tblEventData[Registration Date],(tblEventData[Registration Date]&gt;=A5)*(tblEventData[Registration Date]&lt;A6)))</f>
        <v>8</v>
      </c>
      <c r="E5" s="36" t="s">
        <v>353</v>
      </c>
      <c r="F5" s="21">
        <f>SUM(C29:C40)</f>
        <v>54.89880777456132</v>
      </c>
      <c r="G5" s="21">
        <f>SUM(C29:C40)</f>
        <v>54.89880777456132</v>
      </c>
      <c r="H5" s="21">
        <v>343.83990132488407</v>
      </c>
      <c r="I5" s="21">
        <f>SUM(C29:C40)</f>
        <v>54.89880777456132</v>
      </c>
      <c r="J5" s="21">
        <f>SUM(C29:C40)</f>
        <v>54.89880777456132</v>
      </c>
      <c r="K5" s="21">
        <v>211.75254427330796</v>
      </c>
      <c r="M5" s="36" t="s">
        <v>353</v>
      </c>
      <c r="N5" s="21">
        <v>54.898807774561298</v>
      </c>
    </row>
    <row r="6" spans="1:14">
      <c r="A6" s="18">
        <v>44986</v>
      </c>
      <c r="B6" cm="1">
        <f t="array" ref="B6">COUNT(_xlfn._xlws.FILTER(tblEventData[Registration Date],(tblEventData[Registration Date]&gt;=A6)*(tblEventData[Registration Date]&lt;A7)))</f>
        <v>1</v>
      </c>
      <c r="E6" s="43" t="s">
        <v>373</v>
      </c>
      <c r="F6" s="23">
        <f t="shared" ref="F6:K6" si="1">+F7+F8</f>
        <v>9500</v>
      </c>
      <c r="G6" s="23">
        <f t="shared" si="1"/>
        <v>9500</v>
      </c>
      <c r="H6" s="23">
        <f t="shared" si="1"/>
        <v>9500</v>
      </c>
      <c r="I6" s="23">
        <f t="shared" si="1"/>
        <v>35000</v>
      </c>
      <c r="J6" s="23">
        <f t="shared" si="1"/>
        <v>35000</v>
      </c>
      <c r="K6" s="23">
        <f t="shared" si="1"/>
        <v>35000</v>
      </c>
      <c r="M6" s="43" t="s">
        <v>373</v>
      </c>
      <c r="N6" s="23">
        <v>9500</v>
      </c>
    </row>
    <row r="7" spans="1:14">
      <c r="A7" s="18">
        <v>45017</v>
      </c>
      <c r="B7" cm="1">
        <f t="array" ref="B7">COUNT(_xlfn._xlws.FILTER(tblEventData[Registration Date],(tblEventData[Registration Date]&gt;=A7)*(tblEventData[Registration Date]&lt;A8)))</f>
        <v>6</v>
      </c>
      <c r="E7" s="36" t="s">
        <v>356</v>
      </c>
      <c r="F7" s="23">
        <f>+Assumptions!C4</f>
        <v>6500</v>
      </c>
      <c r="G7" s="23">
        <f>+Assumptions!C4</f>
        <v>6500</v>
      </c>
      <c r="H7" s="23">
        <f>+Assumptions!C4</f>
        <v>6500</v>
      </c>
      <c r="I7" s="23">
        <f>+Assumptions!C9</f>
        <v>10000</v>
      </c>
      <c r="J7" s="23">
        <f>+Assumptions!C9</f>
        <v>10000</v>
      </c>
      <c r="K7" s="23">
        <f>+Assumptions!C9</f>
        <v>10000</v>
      </c>
      <c r="M7" s="36" t="s">
        <v>356</v>
      </c>
      <c r="N7" s="23">
        <v>6500</v>
      </c>
    </row>
    <row r="8" spans="1:14">
      <c r="A8" s="18">
        <v>45047</v>
      </c>
      <c r="B8" cm="1">
        <f t="array" ref="B8">COUNT(_xlfn._xlws.FILTER(tblEventData[Registration Date],(tblEventData[Registration Date]&gt;=A8)*(tblEventData[Registration Date]&lt;A9)))</f>
        <v>3</v>
      </c>
      <c r="E8" s="36" t="s">
        <v>355</v>
      </c>
      <c r="F8" s="23">
        <f>+Assumptions!C5</f>
        <v>3000</v>
      </c>
      <c r="G8" s="23">
        <f>+Assumptions!C5</f>
        <v>3000</v>
      </c>
      <c r="H8" s="23">
        <f>+Assumptions!C5</f>
        <v>3000</v>
      </c>
      <c r="I8" s="23">
        <f>+Assumptions!C10</f>
        <v>25000</v>
      </c>
      <c r="J8" s="23">
        <f>+Assumptions!C10</f>
        <v>25000</v>
      </c>
      <c r="K8" s="23">
        <f>+Assumptions!C10</f>
        <v>25000</v>
      </c>
      <c r="M8" s="36" t="s">
        <v>355</v>
      </c>
      <c r="N8" s="23">
        <v>3000</v>
      </c>
    </row>
    <row r="9" spans="1:14">
      <c r="A9" s="18">
        <v>45078</v>
      </c>
      <c r="B9" cm="1">
        <f t="array" ref="B9">COUNT(_xlfn._xlws.FILTER(tblEventData[Registration Date],(tblEventData[Registration Date]&gt;=A9)*(tblEventData[Registration Date]&lt;A10)))</f>
        <v>2</v>
      </c>
      <c r="E9" s="43" t="s">
        <v>354</v>
      </c>
      <c r="F9" s="22">
        <f>+F3-F6</f>
        <v>0</v>
      </c>
      <c r="G9" s="22">
        <f t="shared" ref="G9:K9" si="2">+G3-G6</f>
        <v>49999.999999999985</v>
      </c>
      <c r="H9" s="22">
        <f t="shared" si="2"/>
        <v>50000</v>
      </c>
      <c r="I9" s="22">
        <f t="shared" si="2"/>
        <v>0</v>
      </c>
      <c r="J9" s="59">
        <f t="shared" si="2"/>
        <v>100000</v>
      </c>
      <c r="K9" s="22">
        <f t="shared" si="2"/>
        <v>100000</v>
      </c>
      <c r="L9" s="46"/>
      <c r="M9" s="43" t="s">
        <v>354</v>
      </c>
      <c r="N9" s="22">
        <f>+N3-N6</f>
        <v>2.0008883439004421E-11</v>
      </c>
    </row>
    <row r="10" spans="1:14">
      <c r="A10" s="18">
        <v>45108</v>
      </c>
      <c r="B10" cm="1">
        <f t="array" ref="B10">COUNT(_xlfn._xlws.FILTER(tblEventData[Registration Date],(tblEventData[Registration Date]&gt;=A10)*(tblEventData[Registration Date]&lt;A11)))</f>
        <v>5</v>
      </c>
      <c r="E10" s="35"/>
      <c r="F10" s="22"/>
      <c r="G10" s="22"/>
      <c r="H10" s="22"/>
      <c r="I10" s="22"/>
      <c r="J10" s="22"/>
      <c r="K10" s="22"/>
      <c r="M10" s="35"/>
      <c r="N10" s="22"/>
    </row>
    <row r="11" spans="1:14">
      <c r="A11" s="18">
        <v>45139</v>
      </c>
      <c r="B11" cm="1">
        <f t="array" ref="B11">COUNT(_xlfn._xlws.FILTER(tblEventData[Registration Date],(tblEventData[Registration Date]&gt;=A11)*(tblEventData[Registration Date]&lt;A12)))</f>
        <v>3</v>
      </c>
      <c r="E11" s="44" t="s">
        <v>318</v>
      </c>
      <c r="F11" s="24">
        <v>0</v>
      </c>
      <c r="G11" s="24">
        <f>+Assumptions!C3</f>
        <v>50000</v>
      </c>
      <c r="H11" s="24">
        <f>+Assumptions!C3</f>
        <v>50000</v>
      </c>
      <c r="I11" s="24">
        <v>0</v>
      </c>
      <c r="J11" s="24">
        <f>+Assumptions!C8</f>
        <v>100000</v>
      </c>
      <c r="K11" s="24">
        <f>+Assumptions!C8</f>
        <v>100000</v>
      </c>
      <c r="M11" s="44" t="s">
        <v>318</v>
      </c>
      <c r="N11" s="24">
        <v>0</v>
      </c>
    </row>
    <row r="12" spans="1:14">
      <c r="A12" s="18">
        <v>45170</v>
      </c>
      <c r="B12" cm="1">
        <f t="array" ref="B12">COUNT(_xlfn._xlws.FILTER(tblEventData[Registration Date],(tblEventData[Registration Date]&gt;=A12)*(tblEventData[Registration Date]&lt;A13)))</f>
        <v>3</v>
      </c>
      <c r="E12" s="19"/>
      <c r="F12" s="19"/>
      <c r="G12" s="19"/>
      <c r="N12" s="45"/>
    </row>
    <row r="13" spans="1:14">
      <c r="A13" s="18">
        <v>45200</v>
      </c>
      <c r="B13" cm="1">
        <f t="array" ref="B13">COUNT(_xlfn._xlws.FILTER(tblEventData[Registration Date],(tblEventData[Registration Date]&gt;=A13)*(tblEventData[Registration Date]&lt;A14)))</f>
        <v>4</v>
      </c>
      <c r="E13" s="35" t="s">
        <v>366</v>
      </c>
      <c r="F13" s="35" t="s">
        <v>367</v>
      </c>
      <c r="G13" s="35" t="s">
        <v>368</v>
      </c>
      <c r="H13" s="35" t="s">
        <v>368</v>
      </c>
      <c r="I13" s="35" t="s">
        <v>367</v>
      </c>
      <c r="J13" s="35" t="s">
        <v>370</v>
      </c>
      <c r="K13" s="35" t="s">
        <v>370</v>
      </c>
    </row>
    <row r="14" spans="1:14">
      <c r="A14" s="18">
        <v>45231</v>
      </c>
      <c r="B14" cm="1">
        <f t="array" ref="B14">COUNT(_xlfn._xlws.FILTER(tblEventData[Registration Date],(tblEventData[Registration Date]&gt;=A14)*(tblEventData[Registration Date]&lt;A15)))</f>
        <v>2</v>
      </c>
      <c r="E14" s="37" t="s">
        <v>351</v>
      </c>
      <c r="F14" s="22">
        <v>9500</v>
      </c>
      <c r="G14" s="22">
        <v>0</v>
      </c>
      <c r="H14" s="22">
        <v>0</v>
      </c>
      <c r="I14" s="22">
        <v>34999.999999999993</v>
      </c>
      <c r="J14" s="22">
        <v>0</v>
      </c>
      <c r="K14" s="22">
        <v>0</v>
      </c>
    </row>
    <row r="15" spans="1:14">
      <c r="A15" s="18">
        <v>45261</v>
      </c>
      <c r="B15" cm="1">
        <f t="array" ref="B15">COUNT(_xlfn._xlws.FILTER(tblEventData[Registration Date],(tblEventData[Registration Date]&gt;=A15)*(tblEventData[Registration Date]&lt;A16)))</f>
        <v>2</v>
      </c>
      <c r="E15" s="41" t="s">
        <v>352</v>
      </c>
      <c r="F15" s="22">
        <v>173.04565226646051</v>
      </c>
      <c r="G15" s="33" t="s">
        <v>369</v>
      </c>
      <c r="H15" s="22">
        <v>173.04565226646056</v>
      </c>
      <c r="I15" s="33">
        <v>637.53661361327568</v>
      </c>
      <c r="J15" s="33" t="s">
        <v>369</v>
      </c>
      <c r="K15" s="33">
        <v>637.53661361327568</v>
      </c>
    </row>
    <row r="16" spans="1:14">
      <c r="A16" s="18">
        <v>45292</v>
      </c>
      <c r="B16" cm="1">
        <f t="array" ref="B16">COUNT(_xlfn._xlws.FILTER(tblEventData[Registration Date],(tblEventData[Registration Date]&gt;=A16)*(tblEventData[Registration Date]&lt;A17)))</f>
        <v>7</v>
      </c>
      <c r="E16" s="41" t="s">
        <v>353</v>
      </c>
      <c r="F16" s="21">
        <v>54.898807774561334</v>
      </c>
      <c r="G16" s="21">
        <v>54.89880777456132</v>
      </c>
      <c r="H16" s="34" t="s">
        <v>369</v>
      </c>
      <c r="I16" s="34">
        <v>54.89880777456132</v>
      </c>
      <c r="J16" s="34">
        <v>54.89880777456132</v>
      </c>
      <c r="K16" s="33" t="s">
        <v>369</v>
      </c>
    </row>
    <row r="17" spans="1:11">
      <c r="A17" s="18">
        <v>45323</v>
      </c>
      <c r="B17" cm="1">
        <f t="array" ref="B17">COUNT(_xlfn._xlws.FILTER(tblEventData[Registration Date],(tblEventData[Registration Date]&gt;=A17)*(tblEventData[Registration Date]&lt;A18)))</f>
        <v>9</v>
      </c>
      <c r="E17" s="37" t="s">
        <v>373</v>
      </c>
      <c r="F17" s="22">
        <v>9500</v>
      </c>
      <c r="G17" s="22">
        <v>9500</v>
      </c>
      <c r="H17" s="22">
        <v>9500</v>
      </c>
      <c r="I17" s="22">
        <v>35000</v>
      </c>
      <c r="J17" s="22">
        <v>35000</v>
      </c>
      <c r="K17" s="22">
        <v>35000</v>
      </c>
    </row>
    <row r="18" spans="1:11">
      <c r="A18" s="18">
        <v>45352</v>
      </c>
      <c r="B18" cm="1">
        <f t="array" ref="B18">COUNT(_xlfn._xlws.FILTER(tblEventData[Registration Date],(tblEventData[Registration Date]&gt;=A18)*(tblEventData[Registration Date]&lt;A19)))</f>
        <v>5</v>
      </c>
      <c r="E18" s="41" t="s">
        <v>356</v>
      </c>
      <c r="F18" s="23">
        <f>+Assumptions!C4</f>
        <v>6500</v>
      </c>
      <c r="G18" s="23">
        <f>+Assumptions!C4</f>
        <v>6500</v>
      </c>
      <c r="H18" s="23">
        <f>+Assumptions!C4</f>
        <v>6500</v>
      </c>
      <c r="I18" s="23">
        <f>+Assumptions!C9</f>
        <v>10000</v>
      </c>
      <c r="J18" s="23">
        <f>+Assumptions!C9</f>
        <v>10000</v>
      </c>
      <c r="K18" s="23">
        <f>+Assumptions!C9</f>
        <v>10000</v>
      </c>
    </row>
    <row r="19" spans="1:11">
      <c r="A19" s="18">
        <v>45383</v>
      </c>
      <c r="B19" cm="1">
        <f t="array" ref="B19">COUNT(_xlfn._xlws.FILTER(tblEventData[Registration Date],(tblEventData[Registration Date]&gt;=A19)*(tblEventData[Registration Date]&lt;A20)))</f>
        <v>3</v>
      </c>
      <c r="E19" s="41" t="s">
        <v>355</v>
      </c>
      <c r="F19" s="23">
        <f>+Assumptions!C5</f>
        <v>3000</v>
      </c>
      <c r="G19" s="23">
        <f>+Assumptions!C5</f>
        <v>3000</v>
      </c>
      <c r="H19" s="23">
        <f>+Assumptions!C5</f>
        <v>3000</v>
      </c>
      <c r="I19" s="23">
        <f>+Assumptions!C10</f>
        <v>25000</v>
      </c>
      <c r="J19" s="23">
        <f>+Assumptions!C10</f>
        <v>25000</v>
      </c>
      <c r="K19" s="23">
        <f>+Assumptions!C10</f>
        <v>25000</v>
      </c>
    </row>
    <row r="20" spans="1:11">
      <c r="A20" s="18">
        <v>45413</v>
      </c>
      <c r="B20" cm="1">
        <f t="array" ref="B20">COUNT(_xlfn._xlws.FILTER(tblEventData[Registration Date],(tblEventData[Registration Date]&gt;=A20)*(tblEventData[Registration Date]&lt;A21)))</f>
        <v>3</v>
      </c>
      <c r="E20" s="36" t="s">
        <v>354</v>
      </c>
      <c r="F20" s="22">
        <v>0</v>
      </c>
      <c r="G20" s="22">
        <v>-9500</v>
      </c>
      <c r="H20" s="22">
        <v>-9500</v>
      </c>
      <c r="I20" s="22">
        <v>0</v>
      </c>
      <c r="J20" s="22">
        <v>-35000</v>
      </c>
      <c r="K20" s="22">
        <v>-35000</v>
      </c>
    </row>
    <row r="21" spans="1:11">
      <c r="A21" s="18">
        <v>45444</v>
      </c>
      <c r="B21" cm="1">
        <f t="array" ref="B21">COUNT(_xlfn._xlws.FILTER(tblEventData[Registration Date],(tblEventData[Registration Date]&gt;=A21)*(tblEventData[Registration Date]&lt;A22)))</f>
        <v>6</v>
      </c>
      <c r="E21" s="36"/>
      <c r="F21" s="22"/>
      <c r="G21" s="22"/>
      <c r="H21" s="22"/>
      <c r="I21" s="22"/>
      <c r="J21" s="22"/>
      <c r="K21" s="22"/>
    </row>
    <row r="22" spans="1:11">
      <c r="A22" s="18">
        <v>45474</v>
      </c>
      <c r="B22" cm="1">
        <f t="array" ref="B22">COUNT(_xlfn._xlws.FILTER(tblEventData[Registration Date],(tblEventData[Registration Date]&gt;=A22)*(tblEventData[Registration Date]&lt;A23)))</f>
        <v>3</v>
      </c>
      <c r="E22" s="36" t="s">
        <v>318</v>
      </c>
      <c r="F22" s="22">
        <v>0</v>
      </c>
      <c r="G22" s="22">
        <f>+Assumptions!C3</f>
        <v>50000</v>
      </c>
      <c r="H22" s="22">
        <f>+Assumptions!C3</f>
        <v>50000</v>
      </c>
      <c r="I22" s="22">
        <v>0</v>
      </c>
      <c r="J22" s="22">
        <f>+Assumptions!C8</f>
        <v>100000</v>
      </c>
      <c r="K22" s="22">
        <f>+Assumptions!C8</f>
        <v>100000</v>
      </c>
    </row>
    <row r="23" spans="1:11">
      <c r="A23" s="18">
        <v>45505</v>
      </c>
      <c r="B23" cm="1">
        <f t="array" ref="B23">COUNT(_xlfn._xlws.FILTER(tblEventData[Registration Date],(tblEventData[Registration Date]&gt;=A23)*(tblEventData[Registration Date]&lt;A24)))</f>
        <v>7</v>
      </c>
    </row>
    <row r="24" spans="1:11">
      <c r="A24" s="18">
        <v>45536</v>
      </c>
      <c r="B24" cm="1">
        <f t="array" ref="B24">COUNT(_xlfn._xlws.FILTER(tblEventData[Registration Date],(tblEventData[Registration Date]&gt;=A24)*(tblEventData[Registration Date]&lt;A25)))</f>
        <v>2</v>
      </c>
    </row>
    <row r="25" spans="1:11">
      <c r="A25" s="18">
        <v>45566</v>
      </c>
      <c r="B25" cm="1">
        <f t="array" ref="B25">COUNT(_xlfn._xlws.FILTER(tblEventData[Registration Date],(tblEventData[Registration Date]&gt;=A25)*(tblEventData[Registration Date]&lt;A26)))</f>
        <v>6</v>
      </c>
      <c r="E25" s="56"/>
      <c r="F25" s="56"/>
    </row>
    <row r="26" spans="1:11">
      <c r="A26" s="18">
        <v>45597</v>
      </c>
      <c r="B26" cm="1">
        <f t="array" ref="B26">COUNT(_xlfn._xlws.FILTER(tblEventData[Registration Date],(tblEventData[Registration Date]&gt;=A26)*(tblEventData[Registration Date]&lt;A27)))</f>
        <v>2</v>
      </c>
      <c r="E26" s="56"/>
      <c r="F26" s="56"/>
      <c r="G26" s="47"/>
      <c r="H26" s="47"/>
      <c r="I26" s="47"/>
      <c r="J26" s="47"/>
      <c r="K26" s="47"/>
    </row>
    <row r="27" spans="1:11">
      <c r="A27" s="18">
        <v>45627</v>
      </c>
      <c r="B27" cm="1">
        <f t="array" ref="B27">COUNT(_xlfn._xlws.FILTER(tblEventData[Registration Date],(tblEventData[Registration Date]&gt;=A27)*(tblEventData[Registration Date]&lt;A28)))</f>
        <v>0</v>
      </c>
      <c r="E27" s="56"/>
      <c r="F27" s="56"/>
    </row>
    <row r="28" spans="1:11">
      <c r="A28" s="18">
        <v>45658</v>
      </c>
      <c r="B28" cm="1">
        <f t="array" ref="B28">COUNT(_xlfn._xlws.FILTER(tblEventData[Registration Date],(tblEventData[Registration Date]&gt;=A28)*(tblEventData[Registration Date]&lt;A29)))</f>
        <v>1</v>
      </c>
      <c r="C28">
        <f>+Table22[[#This Row],[Numer of Registrations]]</f>
        <v>1</v>
      </c>
      <c r="E28" s="56"/>
      <c r="F28" s="56"/>
    </row>
    <row r="29" spans="1:11">
      <c r="A29" s="18">
        <v>45689</v>
      </c>
      <c r="C29" s="19">
        <f t="shared" ref="C29:C40" si="3">_xlfn.FORECAST.ETS(A29,$B$2:$B$28,$A$2:$A$28,12,1)</f>
        <v>9.048019674313835</v>
      </c>
      <c r="E29" s="56"/>
      <c r="F29" s="56"/>
    </row>
    <row r="30" spans="1:11">
      <c r="A30" s="18">
        <v>45717</v>
      </c>
      <c r="C30" s="19">
        <f t="shared" si="3"/>
        <v>4.7125312730352817</v>
      </c>
      <c r="E30" s="56"/>
      <c r="F30" s="56"/>
    </row>
    <row r="31" spans="1:11">
      <c r="A31" s="18">
        <v>45748</v>
      </c>
      <c r="C31" s="19">
        <f t="shared" si="3"/>
        <v>4.72367666183243</v>
      </c>
      <c r="E31" s="56"/>
      <c r="F31" s="56"/>
    </row>
    <row r="32" spans="1:11">
      <c r="A32" s="18">
        <v>45778</v>
      </c>
      <c r="C32" s="19">
        <f t="shared" si="3"/>
        <v>3.2491295899188408</v>
      </c>
    </row>
    <row r="33" spans="1:3">
      <c r="A33" s="18">
        <v>45809</v>
      </c>
      <c r="C33" s="19">
        <f t="shared" si="3"/>
        <v>4.3140661455635856</v>
      </c>
    </row>
    <row r="34" spans="1:3">
      <c r="A34" s="18">
        <v>45839</v>
      </c>
      <c r="C34" s="19">
        <f t="shared" si="3"/>
        <v>4.364385211966324</v>
      </c>
    </row>
    <row r="35" spans="1:3">
      <c r="A35" s="18">
        <v>45870</v>
      </c>
      <c r="C35" s="19">
        <f t="shared" si="3"/>
        <v>5.4102705637161037</v>
      </c>
    </row>
    <row r="36" spans="1:3">
      <c r="A36" s="18">
        <v>45901</v>
      </c>
      <c r="C36" s="19">
        <f t="shared" si="3"/>
        <v>2.9177228060595697</v>
      </c>
    </row>
    <row r="37" spans="1:3">
      <c r="A37" s="18">
        <v>45931</v>
      </c>
      <c r="C37" s="19">
        <f t="shared" si="3"/>
        <v>4.7939450370875916</v>
      </c>
    </row>
    <row r="38" spans="1:3">
      <c r="A38" s="18">
        <v>45962</v>
      </c>
      <c r="C38" s="19">
        <f t="shared" si="3"/>
        <v>2.5353198943536182</v>
      </c>
    </row>
    <row r="39" spans="1:3">
      <c r="A39" s="18">
        <v>45992</v>
      </c>
      <c r="C39" s="19">
        <f t="shared" si="3"/>
        <v>2.5651092877244364</v>
      </c>
    </row>
    <row r="40" spans="1:3">
      <c r="A40" s="18">
        <v>46022</v>
      </c>
      <c r="C40" s="19">
        <f t="shared" si="3"/>
        <v>6.2646316289896991</v>
      </c>
    </row>
  </sheetData>
  <scenarios current="0" sqref="N9">
    <scenario name="Profit 50K – Low Cost – Adjusted Price – Forecasted Attendance" locked="1" count="3" user="Massimo Conforti" comment="Created by Massimo Conforti on 03/11/2025_x000a_Modified by Massimo Conforti on 03/11/2025">
      <inputCells r="N6" val="9500"/>
      <inputCells r="N4" val="1083,81224314257" numFmtId="166"/>
      <inputCells r="N5" val="54,8988077745613"/>
    </scenario>
    <scenario name="Profit 50K – Low Cost – Break-Even-Based Price – Target Attendance" locked="1" count="3" user="Massimo Conforti" comment="Created by Massimo Conforti on 03/11/2025_x000a_Modified by Massimo Conforti on 03/11/2025">
      <inputCells r="N6" val="9500"/>
      <inputCells r="N4" val="173,045652266461" numFmtId="166"/>
      <inputCells r="N5" val="343,839901324884"/>
    </scenario>
    <scenario name="Break-Even 100K – High Cost – Adjusted Price – Forecasted Attendance" locked="1" count="3" user="Massimo Conforti" comment="Created by Massimo Conforti on 03/11/2025_x000a_Modified by Massimo Conforti on 03/11/2025">
      <inputCells r="N6" val="35000"/>
      <inputCells r="N4" val="637,536613613276" numFmtId="166"/>
      <inputCells r="N5" val="54,8988077745613"/>
    </scenario>
    <scenario name="Profit 100K – High Cost – Adjusted Price – Forecasted Attendance" locked="1" count="3" user="Massimo Conforti" comment="Created by Massimo Conforti on 03/11/2025_x000a_Modified by Massimo Conforti on 03/11/2025">
      <inputCells r="N6" val="35000"/>
      <inputCells r="N4" val="2459,06979536549" numFmtId="166"/>
      <inputCells r="N5" val="54,8988077745613"/>
    </scenario>
    <scenario name="Profit 100K – High Cost – Break-Even-Based Price – Target Attendance" locked="1" count="3" user="Massimo Conforti" comment="Created by Massimo Conforti on 03/11/2025_x000a_Modified by Massimo Conforti on 03/11/2025">
      <inputCells r="N6" val="35000"/>
      <inputCells r="N4" val="637,536613613276" numFmtId="166"/>
      <inputCells r="N5" val="211,752544273308"/>
    </scenario>
  </scenarios>
  <phoneticPr fontId="17"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9FF3B-39D8-421F-8E11-1EFDD017CC70}">
  <sheetPr codeName="Sheet3">
    <tabColor theme="0" tint="-0.249977111117893"/>
    <outlinePr summaryBelow="0"/>
  </sheetPr>
  <dimension ref="B1:J13"/>
  <sheetViews>
    <sheetView showGridLines="0" workbookViewId="0">
      <selection activeCell="F19" sqref="F19"/>
    </sheetView>
  </sheetViews>
  <sheetFormatPr defaultRowHeight="14.4" outlineLevelRow="1" outlineLevelCol="1"/>
  <cols>
    <col min="3" max="3" width="11.109375" bestFit="1" customWidth="1"/>
    <col min="4" max="9" width="20.5546875" customWidth="1" outlineLevel="1"/>
  </cols>
  <sheetData>
    <row r="1" spans="2:10" ht="15" thickBot="1"/>
    <row r="2" spans="2:10" ht="15.6">
      <c r="B2" s="68" t="s">
        <v>375</v>
      </c>
      <c r="C2" s="68"/>
      <c r="D2" s="69"/>
      <c r="E2" s="69"/>
      <c r="F2" s="69"/>
      <c r="G2" s="69"/>
      <c r="H2" s="69"/>
      <c r="I2" s="69"/>
    </row>
    <row r="3" spans="2:10" ht="55.2" collapsed="1">
      <c r="B3" s="70"/>
      <c r="C3" s="70"/>
      <c r="D3" s="71" t="s">
        <v>381</v>
      </c>
      <c r="E3" s="71" t="s">
        <v>382</v>
      </c>
      <c r="F3" s="71" t="s">
        <v>383</v>
      </c>
      <c r="G3" s="71" t="s">
        <v>384</v>
      </c>
      <c r="H3" s="71" t="s">
        <v>385</v>
      </c>
      <c r="I3" s="71" t="s">
        <v>386</v>
      </c>
      <c r="J3" s="57"/>
    </row>
    <row r="4" spans="2:10" ht="40.799999999999997" hidden="1" outlineLevel="1">
      <c r="B4" s="50"/>
      <c r="C4" s="50"/>
      <c r="E4" s="55" t="s">
        <v>374</v>
      </c>
      <c r="F4" s="55" t="s">
        <v>374</v>
      </c>
      <c r="G4" s="55" t="s">
        <v>374</v>
      </c>
      <c r="H4" s="55" t="s">
        <v>374</v>
      </c>
      <c r="I4" s="55" t="s">
        <v>374</v>
      </c>
    </row>
    <row r="5" spans="2:10">
      <c r="B5" s="51" t="s">
        <v>376</v>
      </c>
      <c r="C5" s="51"/>
      <c r="D5" s="49"/>
      <c r="E5" s="49"/>
      <c r="F5" s="49"/>
      <c r="G5" s="49"/>
      <c r="H5" s="49"/>
      <c r="I5" s="49"/>
    </row>
    <row r="6" spans="2:10" outlineLevel="1">
      <c r="B6" s="50"/>
      <c r="C6" s="50" t="s">
        <v>387</v>
      </c>
      <c r="D6" s="5">
        <v>9500</v>
      </c>
      <c r="E6" s="53">
        <v>9500</v>
      </c>
      <c r="F6" s="53">
        <v>9500</v>
      </c>
      <c r="G6" s="53">
        <v>35000</v>
      </c>
      <c r="H6" s="53">
        <v>35000</v>
      </c>
      <c r="I6" s="53">
        <v>35000</v>
      </c>
    </row>
    <row r="7" spans="2:10" outlineLevel="1">
      <c r="B7" s="50"/>
      <c r="C7" s="50" t="s">
        <v>388</v>
      </c>
      <c r="D7" s="5">
        <v>173.04565226646099</v>
      </c>
      <c r="E7" s="53">
        <v>1083.81224314257</v>
      </c>
      <c r="F7" s="53">
        <v>173.04565226646099</v>
      </c>
      <c r="G7" s="53">
        <v>637.53661361327602</v>
      </c>
      <c r="H7" s="53">
        <v>2459.0697953654899</v>
      </c>
      <c r="I7" s="53">
        <v>637.53661361327602</v>
      </c>
    </row>
    <row r="8" spans="2:10" outlineLevel="1">
      <c r="B8" s="50"/>
      <c r="C8" s="50" t="s">
        <v>365</v>
      </c>
      <c r="D8" s="19">
        <v>54.898807774561298</v>
      </c>
      <c r="E8" s="54">
        <v>54.898807774561298</v>
      </c>
      <c r="F8" s="54">
        <v>343.83990132488401</v>
      </c>
      <c r="G8" s="54">
        <v>54.898807774561298</v>
      </c>
      <c r="H8" s="54">
        <v>54.898807774561298</v>
      </c>
      <c r="I8" s="54">
        <v>211.75254427330799</v>
      </c>
    </row>
    <row r="9" spans="2:10">
      <c r="B9" s="51" t="s">
        <v>377</v>
      </c>
      <c r="C9" s="51"/>
      <c r="D9" s="49"/>
      <c r="E9" s="49"/>
      <c r="F9" s="49"/>
      <c r="G9" s="49"/>
      <c r="H9" s="49"/>
      <c r="I9" s="49"/>
    </row>
    <row r="10" spans="2:10" ht="15" outlineLevel="1" thickBot="1">
      <c r="B10" s="52"/>
      <c r="C10" s="52" t="s">
        <v>354</v>
      </c>
      <c r="D10" s="48">
        <v>2.0008883439004399E-11</v>
      </c>
      <c r="E10" s="48">
        <v>50000</v>
      </c>
      <c r="F10" s="48">
        <v>50000.000000000102</v>
      </c>
      <c r="G10" s="48">
        <v>0</v>
      </c>
      <c r="H10" s="48">
        <v>99999.999999999796</v>
      </c>
      <c r="I10" s="48">
        <v>100000</v>
      </c>
    </row>
    <row r="11" spans="2:10">
      <c r="B11" t="s">
        <v>378</v>
      </c>
    </row>
    <row r="12" spans="2:10">
      <c r="B12" t="s">
        <v>379</v>
      </c>
    </row>
    <row r="13" spans="2:10">
      <c r="B13" t="s">
        <v>380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97B4B-4908-4EB6-84D0-44A84F24EFBA}">
  <sheetPr codeName="Sheet8">
    <tabColor theme="3" tint="0.39997558519241921"/>
  </sheetPr>
  <dimension ref="B6:F19"/>
  <sheetViews>
    <sheetView showGridLines="0" tabSelected="1" workbookViewId="0"/>
  </sheetViews>
  <sheetFormatPr defaultRowHeight="14.4"/>
  <cols>
    <col min="1" max="1" width="3.88671875" customWidth="1"/>
    <col min="2" max="3" width="19.6640625" customWidth="1"/>
    <col min="4" max="4" width="2" customWidth="1"/>
    <col min="5" max="6" width="19.6640625" customWidth="1"/>
    <col min="7" max="7" width="9.88671875" customWidth="1"/>
    <col min="12" max="12" width="9.109375" customWidth="1"/>
    <col min="13" max="13" width="3.88671875" customWidth="1"/>
  </cols>
  <sheetData>
    <row r="6" spans="2:6" ht="25.8" customHeight="1">
      <c r="B6" s="28"/>
      <c r="C6" s="27" t="s">
        <v>358</v>
      </c>
      <c r="E6" s="27" t="s">
        <v>359</v>
      </c>
      <c r="F6" s="28"/>
    </row>
    <row r="7" spans="2:6" ht="22.8" customHeight="1">
      <c r="B7" s="30"/>
      <c r="C7" s="29">
        <f>GETPIVOTDATA("Attendee ID",'Temp Data'!$D$1)</f>
        <v>100</v>
      </c>
      <c r="E7" s="31">
        <f>GETPIVOTDATA("Ticket Price Preference",'Temp Data'!$A$1)</f>
        <v>24080</v>
      </c>
      <c r="F7" s="32"/>
    </row>
    <row r="17" ht="9.6" customHeight="1"/>
    <row r="18" ht="5.4" customHeight="1"/>
    <row r="19" ht="6.6" customHeight="1"/>
  </sheetData>
  <pageMargins left="0.7" right="0.7" top="0.75" bottom="0.75" header="0.3" footer="0.3"/>
  <drawing r:id="rId1"/>
  <legacyDrawing r:id="rId2"/>
  <controls>
    <mc:AlternateContent xmlns:mc="http://schemas.openxmlformats.org/markup-compatibility/2006">
      <mc:Choice Requires="x14">
        <control shapeId="2049" r:id="rId3" name="cmdRefreshAll">
          <controlPr defaultSize="0" autoFill="0" autoLine="0" r:id="rId4">
            <anchor moveWithCells="1">
              <from>
                <xdr:col>10</xdr:col>
                <xdr:colOff>411480</xdr:colOff>
                <xdr:row>0</xdr:row>
                <xdr:rowOff>99060</xdr:rowOff>
              </from>
              <to>
                <xdr:col>12</xdr:col>
                <xdr:colOff>60960</xdr:colOff>
                <xdr:row>2</xdr:row>
                <xdr:rowOff>129540</xdr:rowOff>
              </to>
            </anchor>
          </controlPr>
        </control>
      </mc:Choice>
      <mc:Fallback>
        <control shapeId="2049" r:id="rId3" name="cmdRefreshAll"/>
      </mc:Fallback>
    </mc:AlternateContent>
  </controls>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249977111117893"/>
    <outlinePr summaryBelow="0" summaryRight="0"/>
  </sheetPr>
  <dimension ref="B2:F10"/>
  <sheetViews>
    <sheetView workbookViewId="0"/>
  </sheetViews>
  <sheetFormatPr defaultColWidth="14.44140625" defaultRowHeight="15" customHeight="1"/>
  <cols>
    <col min="2" max="2" width="24" bestFit="1" customWidth="1"/>
    <col min="3" max="3" width="8.88671875" bestFit="1" customWidth="1"/>
    <col min="6" max="6" width="61.88671875" customWidth="1"/>
  </cols>
  <sheetData>
    <row r="2" spans="2:6" ht="15" customHeight="1">
      <c r="B2" s="42" t="s">
        <v>389</v>
      </c>
      <c r="C2" s="20"/>
    </row>
    <row r="3" spans="2:6" ht="14.4">
      <c r="B3" s="60" t="s">
        <v>318</v>
      </c>
      <c r="C3" s="61">
        <v>50000</v>
      </c>
    </row>
    <row r="4" spans="2:6" ht="14.4">
      <c r="B4" s="60" t="s">
        <v>319</v>
      </c>
      <c r="C4" s="62">
        <v>6500</v>
      </c>
      <c r="E4" s="1"/>
    </row>
    <row r="5" spans="2:6" ht="14.4">
      <c r="B5" s="60" t="s">
        <v>320</v>
      </c>
      <c r="C5" s="62">
        <v>3000</v>
      </c>
    </row>
    <row r="6" spans="2:6" ht="15" customHeight="1">
      <c r="B6" s="20"/>
      <c r="C6" s="20"/>
    </row>
    <row r="7" spans="2:6" ht="14.4">
      <c r="B7" s="42" t="s">
        <v>390</v>
      </c>
      <c r="C7" s="20"/>
      <c r="F7" s="2"/>
    </row>
    <row r="8" spans="2:6" ht="14.4">
      <c r="B8" s="60" t="s">
        <v>318</v>
      </c>
      <c r="C8" s="61">
        <v>100000</v>
      </c>
      <c r="F8" s="3"/>
    </row>
    <row r="9" spans="2:6" ht="14.4">
      <c r="B9" s="60" t="s">
        <v>319</v>
      </c>
      <c r="C9" s="62">
        <v>10000</v>
      </c>
      <c r="F9" s="3"/>
    </row>
    <row r="10" spans="2:6" ht="14.4">
      <c r="B10" s="60" t="s">
        <v>320</v>
      </c>
      <c r="C10" s="62">
        <v>25000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60478-A590-4563-8788-A1478BEFF486}">
  <sheetPr codeName="Sheet9">
    <tabColor theme="0" tint="-0.249977111117893"/>
  </sheetPr>
  <dimension ref="A1:H32"/>
  <sheetViews>
    <sheetView workbookViewId="0"/>
  </sheetViews>
  <sheetFormatPr defaultRowHeight="14.4"/>
  <cols>
    <col min="1" max="1" width="25.77734375" bestFit="1" customWidth="1"/>
    <col min="2" max="2" width="9.33203125" bestFit="1" customWidth="1"/>
    <col min="4" max="4" width="24.33203125" bestFit="1" customWidth="1"/>
    <col min="5" max="5" width="19" bestFit="1" customWidth="1"/>
    <col min="7" max="7" width="12.5546875" bestFit="1" customWidth="1"/>
    <col min="8" max="8" width="19" bestFit="1" customWidth="1"/>
  </cols>
  <sheetData>
    <row r="1" spans="1:8">
      <c r="A1" s="14" t="s">
        <v>360</v>
      </c>
      <c r="B1" t="s">
        <v>359</v>
      </c>
      <c r="D1" s="14" t="s">
        <v>361</v>
      </c>
      <c r="E1" t="s">
        <v>334</v>
      </c>
    </row>
    <row r="2" spans="1:8">
      <c r="A2" s="15" t="s">
        <v>21</v>
      </c>
      <c r="B2" s="5">
        <v>8640</v>
      </c>
      <c r="D2" s="15" t="s">
        <v>330</v>
      </c>
      <c r="E2">
        <v>5</v>
      </c>
    </row>
    <row r="3" spans="1:8">
      <c r="A3" s="15" t="s">
        <v>15</v>
      </c>
      <c r="B3" s="5">
        <v>8490</v>
      </c>
      <c r="D3" s="16" t="s">
        <v>336</v>
      </c>
      <c r="E3">
        <v>1</v>
      </c>
      <c r="G3" s="14" t="s">
        <v>362</v>
      </c>
      <c r="H3" t="s">
        <v>334</v>
      </c>
    </row>
    <row r="4" spans="1:8">
      <c r="A4" s="15" t="s">
        <v>9</v>
      </c>
      <c r="B4" s="5">
        <v>6950</v>
      </c>
      <c r="D4" s="16" t="s">
        <v>337</v>
      </c>
      <c r="E4">
        <v>4</v>
      </c>
      <c r="G4" s="15" t="s">
        <v>10</v>
      </c>
      <c r="H4" s="26">
        <v>0.57999999999999996</v>
      </c>
    </row>
    <row r="5" spans="1:8">
      <c r="A5" s="15" t="s">
        <v>329</v>
      </c>
      <c r="B5" s="5">
        <v>24080</v>
      </c>
      <c r="D5" s="15" t="s">
        <v>331</v>
      </c>
      <c r="E5">
        <v>41</v>
      </c>
      <c r="G5" s="15" t="s">
        <v>22</v>
      </c>
      <c r="H5" s="26">
        <v>0.42</v>
      </c>
    </row>
    <row r="6" spans="1:8">
      <c r="D6" s="16" t="s">
        <v>338</v>
      </c>
      <c r="E6">
        <v>2</v>
      </c>
      <c r="G6" s="15" t="s">
        <v>329</v>
      </c>
      <c r="H6" s="26">
        <v>1</v>
      </c>
    </row>
    <row r="7" spans="1:8">
      <c r="D7" s="16" t="s">
        <v>339</v>
      </c>
      <c r="E7">
        <v>8</v>
      </c>
    </row>
    <row r="8" spans="1:8">
      <c r="D8" s="16" t="s">
        <v>340</v>
      </c>
      <c r="E8">
        <v>1</v>
      </c>
    </row>
    <row r="9" spans="1:8">
      <c r="D9" s="16" t="s">
        <v>341</v>
      </c>
      <c r="E9">
        <v>6</v>
      </c>
    </row>
    <row r="10" spans="1:8">
      <c r="D10" s="16" t="s">
        <v>342</v>
      </c>
      <c r="E10">
        <v>3</v>
      </c>
    </row>
    <row r="11" spans="1:8">
      <c r="D11" s="16" t="s">
        <v>343</v>
      </c>
      <c r="E11">
        <v>2</v>
      </c>
    </row>
    <row r="12" spans="1:8">
      <c r="D12" s="16" t="s">
        <v>344</v>
      </c>
      <c r="E12">
        <v>5</v>
      </c>
    </row>
    <row r="13" spans="1:8">
      <c r="D13" s="16" t="s">
        <v>345</v>
      </c>
      <c r="E13">
        <v>3</v>
      </c>
    </row>
    <row r="14" spans="1:8">
      <c r="D14" s="16" t="s">
        <v>346</v>
      </c>
      <c r="E14">
        <v>3</v>
      </c>
    </row>
    <row r="15" spans="1:8">
      <c r="D15" s="16" t="s">
        <v>347</v>
      </c>
      <c r="E15">
        <v>4</v>
      </c>
    </row>
    <row r="16" spans="1:8">
      <c r="D16" s="16" t="s">
        <v>336</v>
      </c>
      <c r="E16">
        <v>2</v>
      </c>
    </row>
    <row r="17" spans="4:5">
      <c r="D17" s="16" t="s">
        <v>337</v>
      </c>
      <c r="E17">
        <v>2</v>
      </c>
    </row>
    <row r="18" spans="4:5">
      <c r="D18" s="15" t="s">
        <v>332</v>
      </c>
      <c r="E18">
        <v>53</v>
      </c>
    </row>
    <row r="19" spans="4:5">
      <c r="D19" s="16" t="s">
        <v>338</v>
      </c>
      <c r="E19">
        <v>7</v>
      </c>
    </row>
    <row r="20" spans="4:5">
      <c r="D20" s="16" t="s">
        <v>339</v>
      </c>
      <c r="E20">
        <v>9</v>
      </c>
    </row>
    <row r="21" spans="4:5">
      <c r="D21" s="16" t="s">
        <v>340</v>
      </c>
      <c r="E21">
        <v>5</v>
      </c>
    </row>
    <row r="22" spans="4:5">
      <c r="D22" s="16" t="s">
        <v>341</v>
      </c>
      <c r="E22">
        <v>3</v>
      </c>
    </row>
    <row r="23" spans="4:5">
      <c r="D23" s="16" t="s">
        <v>342</v>
      </c>
      <c r="E23">
        <v>3</v>
      </c>
    </row>
    <row r="24" spans="4:5">
      <c r="D24" s="16" t="s">
        <v>343</v>
      </c>
      <c r="E24">
        <v>6</v>
      </c>
    </row>
    <row r="25" spans="4:5">
      <c r="D25" s="16" t="s">
        <v>344</v>
      </c>
      <c r="E25">
        <v>3</v>
      </c>
    </row>
    <row r="26" spans="4:5">
      <c r="D26" s="16" t="s">
        <v>345</v>
      </c>
      <c r="E26">
        <v>7</v>
      </c>
    </row>
    <row r="27" spans="4:5">
      <c r="D27" s="16" t="s">
        <v>346</v>
      </c>
      <c r="E27">
        <v>2</v>
      </c>
    </row>
    <row r="28" spans="4:5">
      <c r="D28" s="16" t="s">
        <v>347</v>
      </c>
      <c r="E28">
        <v>6</v>
      </c>
    </row>
    <row r="29" spans="4:5">
      <c r="D29" s="16" t="s">
        <v>336</v>
      </c>
      <c r="E29">
        <v>2</v>
      </c>
    </row>
    <row r="30" spans="4:5">
      <c r="D30" s="15" t="s">
        <v>333</v>
      </c>
      <c r="E30">
        <v>1</v>
      </c>
    </row>
    <row r="31" spans="4:5">
      <c r="D31" s="16" t="s">
        <v>338</v>
      </c>
      <c r="E31">
        <v>1</v>
      </c>
    </row>
    <row r="32" spans="4:5">
      <c r="D32" s="15" t="s">
        <v>329</v>
      </c>
      <c r="E32">
        <v>100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841DC-BBE5-4471-BF1A-D1866AB637EC}">
  <sheetPr codeName="Sheet5">
    <tabColor theme="0" tint="-0.249977111117893"/>
  </sheetPr>
  <dimension ref="A1:E13"/>
  <sheetViews>
    <sheetView workbookViewId="0"/>
  </sheetViews>
  <sheetFormatPr defaultRowHeight="14.4"/>
  <cols>
    <col min="1" max="1" width="21.44140625" customWidth="1"/>
    <col min="2" max="2" width="10.33203125" customWidth="1"/>
    <col min="3" max="3" width="11.88671875" customWidth="1"/>
    <col min="4" max="4" width="13.6640625" customWidth="1"/>
    <col min="5" max="5" width="13.6640625" style="5" customWidth="1"/>
    <col min="7" max="7" width="13.21875" bestFit="1" customWidth="1"/>
    <col min="8" max="9" width="10.33203125" bestFit="1" customWidth="1"/>
  </cols>
  <sheetData>
    <row r="1" spans="1:5">
      <c r="A1" s="10" t="s">
        <v>327</v>
      </c>
      <c r="B1" s="7" t="s">
        <v>324</v>
      </c>
      <c r="C1" s="8" t="s">
        <v>326</v>
      </c>
      <c r="D1" s="9" t="s">
        <v>325</v>
      </c>
      <c r="E1"/>
    </row>
    <row r="2" spans="1:5">
      <c r="A2" t="str">
        <f>tblWorkshopPreferences[[#This Row],[Session]]&amp;tblWorkshopPreferences[[#This Row],[Workshop]]</f>
        <v>LeadershipWorkshop A</v>
      </c>
      <c r="B2" t="s">
        <v>21</v>
      </c>
      <c r="C2" s="7" t="s">
        <v>26</v>
      </c>
      <c r="D2" s="9">
        <v>200</v>
      </c>
      <c r="E2"/>
    </row>
    <row r="3" spans="1:5">
      <c r="A3" t="str">
        <f>tblWorkshopPreferences[[#This Row],[Session]]&amp;tblWorkshopPreferences[[#This Row],[Workshop]]</f>
        <v>LeadershipWorkshop B</v>
      </c>
      <c r="B3" t="s">
        <v>21</v>
      </c>
      <c r="C3" s="7" t="s">
        <v>30</v>
      </c>
      <c r="D3" s="9">
        <v>240</v>
      </c>
      <c r="E3"/>
    </row>
    <row r="4" spans="1:5">
      <c r="A4" t="str">
        <f>tblWorkshopPreferences[[#This Row],[Session]]&amp;tblWorkshopPreferences[[#This Row],[Workshop]]</f>
        <v>LeadershipWorkshop C</v>
      </c>
      <c r="B4" t="s">
        <v>21</v>
      </c>
      <c r="C4" s="7" t="s">
        <v>16</v>
      </c>
      <c r="D4" s="9">
        <v>270</v>
      </c>
      <c r="E4"/>
    </row>
    <row r="5" spans="1:5">
      <c r="A5" t="str">
        <f>tblWorkshopPreferences[[#This Row],[Session]]&amp;tblWorkshopPreferences[[#This Row],[Workshop]]</f>
        <v>LeadershipWorkshop D</v>
      </c>
      <c r="B5" t="s">
        <v>21</v>
      </c>
      <c r="C5" s="17" t="s">
        <v>357</v>
      </c>
      <c r="D5" s="9">
        <v>280</v>
      </c>
      <c r="E5"/>
    </row>
    <row r="6" spans="1:5">
      <c r="A6" t="str">
        <f>tblWorkshopPreferences[[#This Row],[Session]]&amp;tblWorkshopPreferences[[#This Row],[Workshop]]</f>
        <v>MarketingWorkshop A</v>
      </c>
      <c r="B6" t="s">
        <v>15</v>
      </c>
      <c r="C6" s="7" t="s">
        <v>26</v>
      </c>
      <c r="D6" s="9">
        <v>200</v>
      </c>
      <c r="E6"/>
    </row>
    <row r="7" spans="1:5">
      <c r="A7" t="str">
        <f>tblWorkshopPreferences[[#This Row],[Session]]&amp;tblWorkshopPreferences[[#This Row],[Workshop]]</f>
        <v>MarketingWorkshop B</v>
      </c>
      <c r="B7" t="s">
        <v>15</v>
      </c>
      <c r="C7" s="7" t="s">
        <v>30</v>
      </c>
      <c r="D7" s="9">
        <v>240</v>
      </c>
      <c r="E7"/>
    </row>
    <row r="8" spans="1:5">
      <c r="A8" t="str">
        <f>tblWorkshopPreferences[[#This Row],[Session]]&amp;tblWorkshopPreferences[[#This Row],[Workshop]]</f>
        <v>MarketingWorkshop C</v>
      </c>
      <c r="B8" t="s">
        <v>15</v>
      </c>
      <c r="C8" s="7" t="s">
        <v>16</v>
      </c>
      <c r="D8" s="9">
        <v>270</v>
      </c>
      <c r="E8"/>
    </row>
    <row r="9" spans="1:5">
      <c r="A9" t="str">
        <f>tblWorkshopPreferences[[#This Row],[Session]]&amp;tblWorkshopPreferences[[#This Row],[Workshop]]</f>
        <v>MarketingWorkshop D</v>
      </c>
      <c r="B9" t="s">
        <v>15</v>
      </c>
      <c r="C9" s="17" t="s">
        <v>357</v>
      </c>
      <c r="D9" s="9">
        <v>280</v>
      </c>
      <c r="E9"/>
    </row>
    <row r="10" spans="1:5">
      <c r="A10" t="str">
        <f>tblWorkshopPreferences[[#This Row],[Session]]&amp;tblWorkshopPreferences[[#This Row],[Workshop]]</f>
        <v>TechnologyWorkshop A</v>
      </c>
      <c r="B10" t="s">
        <v>9</v>
      </c>
      <c r="C10" s="7" t="s">
        <v>26</v>
      </c>
      <c r="D10" s="9">
        <v>200</v>
      </c>
      <c r="E10"/>
    </row>
    <row r="11" spans="1:5">
      <c r="A11" t="str">
        <f>tblWorkshopPreferences[[#This Row],[Session]]&amp;tblWorkshopPreferences[[#This Row],[Workshop]]</f>
        <v>TechnologyWorkshop B</v>
      </c>
      <c r="B11" t="s">
        <v>9</v>
      </c>
      <c r="C11" s="7" t="s">
        <v>30</v>
      </c>
      <c r="D11" s="9">
        <v>240</v>
      </c>
      <c r="E11"/>
    </row>
    <row r="12" spans="1:5">
      <c r="A12" t="str">
        <f>tblWorkshopPreferences[[#This Row],[Session]]&amp;tblWorkshopPreferences[[#This Row],[Workshop]]</f>
        <v>TechnologyWorkshop C</v>
      </c>
      <c r="B12" t="s">
        <v>9</v>
      </c>
      <c r="C12" s="7" t="s">
        <v>16</v>
      </c>
      <c r="D12" s="9">
        <v>270</v>
      </c>
      <c r="E12"/>
    </row>
    <row r="13" spans="1:5">
      <c r="A13" t="str">
        <f>tblWorkshopPreferences[[#This Row],[Session]]&amp;tblWorkshopPreferences[[#This Row],[Workshop]]</f>
        <v>TechnologyWorkshop D</v>
      </c>
      <c r="B13" t="s">
        <v>9</v>
      </c>
      <c r="C13" s="17" t="s">
        <v>357</v>
      </c>
      <c r="D13" s="9">
        <v>280</v>
      </c>
      <c r="E13"/>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F0324-261B-40E7-B5BE-4674E693C945}">
  <sheetPr codeName="Sheet6">
    <tabColor theme="0" tint="-0.249977111117893"/>
  </sheetPr>
  <dimension ref="A1:B5"/>
  <sheetViews>
    <sheetView workbookViewId="0">
      <selection activeCell="E19" sqref="E19"/>
    </sheetView>
  </sheetViews>
  <sheetFormatPr defaultRowHeight="14.4"/>
  <cols>
    <col min="1" max="1" width="14" customWidth="1"/>
  </cols>
  <sheetData>
    <row r="1" spans="1:2">
      <c r="A1" s="10" t="s">
        <v>328</v>
      </c>
    </row>
    <row r="2" spans="1:2">
      <c r="A2" s="4" t="s">
        <v>41</v>
      </c>
      <c r="B2" s="4"/>
    </row>
    <row r="3" spans="1:2">
      <c r="A3" s="4" t="s">
        <v>17</v>
      </c>
      <c r="B3" s="4"/>
    </row>
    <row r="4" spans="1:2">
      <c r="A4" s="4" t="s">
        <v>31</v>
      </c>
      <c r="B4" s="4"/>
    </row>
    <row r="5" spans="1:2">
      <c r="A5" s="7" t="s">
        <v>11</v>
      </c>
      <c r="B5" s="4"/>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9</vt:i4>
      </vt:variant>
      <vt:variant>
        <vt:lpstr>Именованные диапазоны</vt:lpstr>
      </vt:variant>
      <vt:variant>
        <vt:i4>5</vt:i4>
      </vt:variant>
    </vt:vector>
  </HeadingPairs>
  <TitlesOfParts>
    <vt:vector size="14" baseType="lpstr">
      <vt:lpstr>Event Data</vt:lpstr>
      <vt:lpstr>Dataset Summary</vt:lpstr>
      <vt:lpstr>Projections</vt:lpstr>
      <vt:lpstr>Scenario Summary</vt:lpstr>
      <vt:lpstr>Event Dashboard</vt:lpstr>
      <vt:lpstr>Assumptions</vt:lpstr>
      <vt:lpstr>Temp Data</vt:lpstr>
      <vt:lpstr>WorkshopPreferences</vt:lpstr>
      <vt:lpstr>DietaryPreferences</vt:lpstr>
      <vt:lpstr>Attendance</vt:lpstr>
      <vt:lpstr>Forecasted_Revenues</vt:lpstr>
      <vt:lpstr>Profit</vt:lpstr>
      <vt:lpstr>Ticket_Price</vt:lpstr>
      <vt:lpstr>Total_Costs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Niq Hartley</dc:creator>
  <cp:lastModifiedBy>Anastasiia Mogileva</cp:lastModifiedBy>
  <dcterms:created xsi:type="dcterms:W3CDTF">2024-11-13T21:46:44Z</dcterms:created>
  <dcterms:modified xsi:type="dcterms:W3CDTF">2025-11-18T04:47:45Z</dcterms:modified>
</cp:coreProperties>
</file>